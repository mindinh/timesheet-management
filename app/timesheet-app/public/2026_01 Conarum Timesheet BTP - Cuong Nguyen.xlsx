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2" activeTab="2"/>
  </bookViews>
  <sheets>
    <sheet name="Title" sheetId="1" r:id="rId1"/>
    <sheet name="Legend" sheetId="4" r:id="rId2"/>
    <sheet name="Jan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13" authorId="0">
      <text>
        <r>
          <rPr>
            <sz val="10"/>
            <rFont val="SimSun"/>
            <charset val="134"/>
          </rPr>
          <t>======
ID#AAABscT7S6Q
TRAN THANH TRUNG &lt;A45265&gt;    (2025-10-14 07:21:47)
Papierkram:  For Projects logged in Papierkram
Internal:  conarum VN customer project, but not logged in Papierkram
               *** Write project name in coloumns Notes
Others:  Internal Project, Training, sharing, self study, marketing, management, interview, meeting, timesheet</t>
        </r>
      </text>
    </comment>
  </commentList>
</comments>
</file>

<file path=xl/sharedStrings.xml><?xml version="1.0" encoding="utf-8"?>
<sst xmlns="http://schemas.openxmlformats.org/spreadsheetml/2006/main" count="365" uniqueCount="154">
  <si>
    <t>Timesheet conarum VN</t>
  </si>
  <si>
    <t>Version</t>
  </si>
  <si>
    <t>Change History</t>
  </si>
  <si>
    <t>Action</t>
  </si>
  <si>
    <t>Name</t>
  </si>
  <si>
    <t>Content</t>
  </si>
  <si>
    <t>New</t>
  </si>
  <si>
    <t>HieuT2</t>
  </si>
  <si>
    <t>Create new</t>
  </si>
  <si>
    <t>Update</t>
  </si>
  <si>
    <t>Adjust Papierkram code</t>
  </si>
  <si>
    <t>Type</t>
  </si>
  <si>
    <t>Note</t>
  </si>
  <si>
    <t>Papierkram</t>
  </si>
  <si>
    <t>For Projects logged in Papierkram</t>
  </si>
  <si>
    <t>Internal</t>
  </si>
  <si>
    <r>
      <rPr>
        <sz val="10"/>
        <color theme="1"/>
        <rFont val="Arial"/>
        <charset val="134"/>
      </rPr>
      <t xml:space="preserve">conarum VN customer project, but not logged in Papierkram
</t>
    </r>
    <r>
      <rPr>
        <sz val="10"/>
        <color rgb="FFFF0000"/>
        <rFont val="Arial"/>
        <charset val="134"/>
      </rPr>
      <t>*** Write project name in Note coloumns</t>
    </r>
  </si>
  <si>
    <t>Others</t>
  </si>
  <si>
    <t xml:space="preserve">Internal Project, Training, sharing, self study, marketing, management, interview, meeting, timesheet ... … </t>
  </si>
  <si>
    <t>Customer</t>
  </si>
  <si>
    <t>Papierkram/Project Code</t>
  </si>
  <si>
    <t>Project Name</t>
  </si>
  <si>
    <t>Active</t>
  </si>
  <si>
    <t>Project Manager</t>
  </si>
  <si>
    <t>Spirit/21</t>
  </si>
  <si>
    <t>Schunk div. Papierkram Projects</t>
  </si>
  <si>
    <t>Stefan Bäumler</t>
  </si>
  <si>
    <t xml:space="preserve">1286000-47040-01 - Spirit - Storopack Hans Reichenecker </t>
  </si>
  <si>
    <t xml:space="preserve">Hieu Ngo Xuan </t>
  </si>
  <si>
    <t xml:space="preserve">KARON </t>
  </si>
  <si>
    <t>2025_0001_KARON_EV_KNORR_BREMSE</t>
  </si>
  <si>
    <t>Thomas Deubel</t>
  </si>
  <si>
    <t>2025_0002_KARON_MAHLE</t>
  </si>
  <si>
    <t>DNUS</t>
  </si>
  <si>
    <t>proFRM</t>
  </si>
  <si>
    <t>Trung Tran Thanh</t>
  </si>
  <si>
    <t>biotest</t>
  </si>
  <si>
    <t>4530039906_10_biotest_2025: Support MM/SRM</t>
  </si>
  <si>
    <t>manrolandgoss</t>
  </si>
  <si>
    <t>4501144702 - SAP-Support</t>
  </si>
  <si>
    <t xml:space="preserve">4501183526-10/20 - manrolandgoss level 2 </t>
  </si>
  <si>
    <t>Bosch Rexorth</t>
  </si>
  <si>
    <t>PR1-8320090824- DC - Grownfield S/4 HANA</t>
  </si>
  <si>
    <t>Wacker Chemie AG</t>
  </si>
  <si>
    <t>9106075697- Support 2023</t>
  </si>
  <si>
    <t>9106701418 - Realisierung ERSA_FioriApp-ZMMP</t>
  </si>
  <si>
    <t>9106884529 - Fiori App Interne Meldung</t>
  </si>
  <si>
    <t>Siltronic</t>
  </si>
  <si>
    <t>4501917977 - Support 2025</t>
  </si>
  <si>
    <t>Wolfgang Straßer</t>
  </si>
  <si>
    <t>Uni Klinikum Düsseldorf UKD</t>
  </si>
  <si>
    <t>Support 2025 Bestellung SAP kommt noch</t>
  </si>
  <si>
    <t>SteB Köln</t>
  </si>
  <si>
    <t>4500115491 - StEB Köln - Support 2025</t>
  </si>
  <si>
    <t>XXXXX- DC - Grownfield S/4 HANA (150)</t>
  </si>
  <si>
    <t>STABILO INTERNATIONAL</t>
  </si>
  <si>
    <t>1382604-S4_DEVELOPMENT_PROCONARUM - Pos 20</t>
  </si>
  <si>
    <t>kubus IT</t>
  </si>
  <si>
    <t xml:space="preserve">Rahmenvertrag 
</t>
  </si>
  <si>
    <t>1. 9106830021 - UB3 Automation Function
2. 4550881281_40_MDG_OFFSHORE_Betrieb und
Support</t>
  </si>
  <si>
    <t>Robert Bosch CI /BD</t>
  </si>
  <si>
    <t>P77-0087017468 - Robert - Bosch BD - MDG/MDC Development (EDEN)</t>
  </si>
  <si>
    <t>P77-0087017794 - 1 (#518) Bosch UI5 Onshore/Offshore</t>
  </si>
  <si>
    <t>1. P77-0087018149-Pos 1-Robert Bosch CI-S4-DC-grownfield - offshore/onshore
2. Robert Bosch GmbH - P77-0087016468 Pos2 - S4
Grownfield Project Offshore</t>
  </si>
  <si>
    <t>1427634-10/20 - STABILO - AB MONITOR - offshore/onshore</t>
  </si>
  <si>
    <t>SYNTEGON</t>
  </si>
  <si>
    <t>4550925350-Syntegon-MDG-Analyse</t>
  </si>
  <si>
    <t>4550913704-SYNTEGON-ALE-VERTEILUNG 2024</t>
  </si>
  <si>
    <t>HUK Coburg</t>
  </si>
  <si>
    <t>C062497 - HUK - MM Themen</t>
  </si>
  <si>
    <t>UK Ulm</t>
  </si>
  <si>
    <t>4550881281_40_MDG_OFFSHORE_Betrieb und</t>
  </si>
  <si>
    <t>Support</t>
  </si>
  <si>
    <t>1. 72940 - kubus - VDB Enhancement
2. 37055 - EV/2019/087 - kubus Rahmen</t>
  </si>
  <si>
    <t>CONARUM</t>
  </si>
  <si>
    <t>proconarum: DocSynAI</t>
  </si>
  <si>
    <t>conarum VN - Self- Study</t>
  </si>
  <si>
    <t>conarumVN - Management Task</t>
  </si>
  <si>
    <t>conarum VN - Marketing/Presales/Proposal</t>
  </si>
  <si>
    <t>conarum VN - Internal Acitivity, Project</t>
  </si>
  <si>
    <t>proconarum Generalize - Activity Management App</t>
  </si>
  <si>
    <t xml:space="preserve">
1. proconarum: Support - Brose/Stabilo/Manroland
2. conarum intern</t>
  </si>
  <si>
    <t>conarum Intern DE</t>
  </si>
  <si>
    <t>BROSE</t>
  </si>
  <si>
    <t>1. 4501645393-10/20: Supplier Inquiry - Beratung - Development Offshore
2. 4501630595-20-BroseAutomatisierung Master Data
(CN)
3. 4501568068 - proconarum - Sustainability</t>
  </si>
  <si>
    <t>4530036462_Pos.1/2 - biotest - PaaS proconraum - DL ON/OFF</t>
  </si>
  <si>
    <t>4501676644 - Sync. Ansprechpartner zu proconarum</t>
  </si>
  <si>
    <t>1427636 - STABILO - proconarum PO/POC</t>
  </si>
  <si>
    <t>4501725747-10-Certificate-Development-offshore</t>
  </si>
  <si>
    <t>Brose Certificate</t>
  </si>
  <si>
    <t>Service Entry Sheet</t>
  </si>
  <si>
    <t>Project(Papierkram)</t>
  </si>
  <si>
    <t>Sum of Hours</t>
  </si>
  <si>
    <t>Project:</t>
  </si>
  <si>
    <t>Conarum VN - SAP Development Services</t>
  </si>
  <si>
    <t>(blank)</t>
  </si>
  <si>
    <t>Please indicate on each invoice</t>
  </si>
  <si>
    <t>Grand Total</t>
  </si>
  <si>
    <t>conarum GmbH &amp; Co. KG</t>
  </si>
  <si>
    <t>Place:</t>
  </si>
  <si>
    <t>Germany</t>
  </si>
  <si>
    <t>Company</t>
  </si>
  <si>
    <t>conarum Vietnam Company Ltd.</t>
  </si>
  <si>
    <t>Employee</t>
  </si>
  <si>
    <t>Nguyen Manh Cuong</t>
  </si>
  <si>
    <t xml:space="preserve">Period: </t>
  </si>
  <si>
    <t>January 01,2025</t>
  </si>
  <si>
    <t>Customer contact person:</t>
  </si>
  <si>
    <t>* Write "X" if Onsite</t>
  </si>
  <si>
    <t>Date</t>
  </si>
  <si>
    <t>Task</t>
  </si>
  <si>
    <t>onsite</t>
  </si>
  <si>
    <t>Hours</t>
  </si>
  <si>
    <t>Note (Internal Projects name)</t>
  </si>
  <si>
    <t>[Meeting] Catch-Up Status</t>
  </si>
  <si>
    <t>[Development] UI Improvements</t>
  </si>
  <si>
    <t>[Development] Intergrate Status Matrix</t>
  </si>
  <si>
    <t>[Development] Fix Status Matrix Bugs Based on Button Actions</t>
  </si>
  <si>
    <t>[Development] Implement Dialog for Activity App (Worklist &amp; Detail)</t>
  </si>
  <si>
    <t>[Development] Implement Dialog for Activity App (Create &amp; Filter)</t>
  </si>
  <si>
    <t>[Meeting] Brose Certificate Management</t>
  </si>
  <si>
    <t>[Development] Improve UI for Document Settings App (Field &amp; Category Definitions)</t>
  </si>
  <si>
    <t>[Development] Integrate CRUD API for Document Types</t>
  </si>
  <si>
    <t>[Meeting] Small ball dev 2026</t>
  </si>
  <si>
    <t>[Training] CPI Training Program - Meeting Request</t>
  </si>
  <si>
    <t>[Development] Improve Document Settings UI</t>
  </si>
  <si>
    <t>[Development] Implement Infinite Scrolling for Task and Activity Lists</t>
  </si>
  <si>
    <t>[Development] Implement Document and Attachment Upload</t>
  </si>
  <si>
    <t>[Development] Automatically Add Task Node to Task Flow upon Creation</t>
  </si>
  <si>
    <t>[Development] Implement Dynamic Field Insertion into Additional Data</t>
  </si>
  <si>
    <t>[Fix Bug ] Resolve Issues in Activity Worklist and Creation Popup</t>
  </si>
  <si>
    <t>[Meeting ] Brose Certificate - Discuss for Auhthorization topic</t>
  </si>
  <si>
    <t>[Development] Fix Multilingual Display Issues for Technical Fields</t>
  </si>
  <si>
    <t>[Development] Implement Actions for Task Card Buttons (Open, Edit, Add, Delete)</t>
  </si>
  <si>
    <t>[Development] Integrate Task Card APIs for Open, Edit, Add, and Delete Actions</t>
  </si>
  <si>
    <t>[Meeting ] Catch-Up Status</t>
  </si>
  <si>
    <t>[Meeting ] Year-End Review &amp; 2026 Kick-off – conarum Vietnam</t>
  </si>
  <si>
    <t>[Meeting ] Coordination Meeting 10: Certificate Management at Brose</t>
  </si>
  <si>
    <t>[Development] Persist User Input Data to Local Storage (Activity Details &amp; Create Activity)</t>
  </si>
  <si>
    <t>[Development] Build Design System for Activity Theme, Colors, and Fonts Configuration</t>
  </si>
  <si>
    <t>[Development] Persist User Input Data to Local Storage (Task Details &amp; Create Task)</t>
  </si>
  <si>
    <t>[Development ] Intergrate Button Back &amp; Reload Into Portal</t>
  </si>
  <si>
    <t>[Development] Clear Draft Data from Local Storage on Page Reload (Create Activity &amp; Task)</t>
  </si>
  <si>
    <t>[Fix Bug ] Resolve Multilingual and Date/Time Format Issues in Activity &amp; Task App</t>
  </si>
  <si>
    <t>[Training ] BTP AI Development</t>
  </si>
  <si>
    <t>[Development] Integrate Drag &amp; Drop for Task Flow</t>
  </si>
  <si>
    <t>[Training ] conarum Vietnam - CAP Training batch 01/2026</t>
  </si>
  <si>
    <t>[Meeting ] Discuss for outcomes &amp; estimation for next sprints</t>
  </si>
  <si>
    <t>[Development ] Intergrate Drag &amp; Drop For Taskflow</t>
  </si>
  <si>
    <t>Sum</t>
  </si>
  <si>
    <t>Days</t>
  </si>
  <si>
    <t>Signature of Conarum VietNam employee</t>
  </si>
  <si>
    <t>Signature of customer contact persion</t>
  </si>
  <si>
    <t>Sign the activity report at the end of the accounting period and have it confirmed by the responsible project coordinator.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</si>
</sst>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-yy"/>
    <numFmt numFmtId="179" formatCode="mmmm\ yyyy"/>
    <numFmt numFmtId="180" formatCode="[$-409]d\-mmm;@"/>
    <numFmt numFmtId="181" formatCode="_-* #,##0.00_-;\-* #,##0.00_-;_-* &quot;-&quot;??_-;_-@"/>
    <numFmt numFmtId="182" formatCode="0.0"/>
    <numFmt numFmtId="183" formatCode="d/m"/>
  </numFmts>
  <fonts count="42">
    <font>
      <sz val="10"/>
      <color rgb="FF000000"/>
      <name val="Calibri"/>
      <charset val="134"/>
      <scheme val="minor"/>
    </font>
    <font>
      <b/>
      <sz val="20"/>
      <color theme="1"/>
      <name val="Arial"/>
      <charset val="134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sz val="10"/>
      <name val="Calibri"/>
      <charset val="134"/>
      <scheme val="minor"/>
    </font>
    <font>
      <i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u/>
      <sz val="10"/>
      <color theme="1"/>
      <name val="Calibri"/>
      <charset val="134"/>
    </font>
    <font>
      <sz val="8"/>
      <color theme="1"/>
      <name val="Calibri"/>
      <charset val="134"/>
    </font>
    <font>
      <sz val="11"/>
      <color rgb="FF000000"/>
      <name val="Calibri"/>
      <charset val="134"/>
    </font>
    <font>
      <sz val="10"/>
      <name val="Calibri"/>
      <charset val="134"/>
    </font>
    <font>
      <b/>
      <sz val="10"/>
      <color theme="0"/>
      <name val="Arial"/>
      <charset val="134"/>
    </font>
    <font>
      <sz val="10"/>
      <color rgb="FF000000"/>
      <name val="Arial"/>
      <charset val="134"/>
    </font>
    <font>
      <b/>
      <sz val="18"/>
      <color theme="0"/>
      <name val="Arial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FF0000"/>
      <name val="Arial"/>
      <charset val="134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7365D"/>
        <bgColor rgb="FF17365D"/>
      </patternFill>
    </fill>
    <fill>
      <patternFill patternType="solid">
        <fgColor rgb="FFC00000"/>
        <bgColor rgb="FFC00000"/>
      </patternFill>
    </fill>
    <fill>
      <patternFill patternType="solid">
        <fgColor rgb="FF8DB3E2"/>
        <bgColor rgb="FF8DB3E2"/>
      </patternFill>
    </fill>
    <fill>
      <patternFill patternType="solid">
        <fgColor rgb="FFE5B8B7"/>
        <bgColor rgb="FFE5B8B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7" borderId="2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24" applyNumberFormat="0" applyAlignment="0" applyProtection="0">
      <alignment vertical="center"/>
    </xf>
    <xf numFmtId="0" fontId="30" fillId="9" borderId="25" applyNumberFormat="0" applyAlignment="0" applyProtection="0">
      <alignment vertical="center"/>
    </xf>
    <xf numFmtId="0" fontId="31" fillId="9" borderId="24" applyNumberFormat="0" applyAlignment="0" applyProtection="0">
      <alignment vertical="center"/>
    </xf>
    <xf numFmtId="0" fontId="32" fillId="10" borderId="26" applyNumberFormat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4" fillId="0" borderId="28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95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3" fillId="0" borderId="3" xfId="0" applyFont="1" applyBorder="1" applyAlignment="1"/>
    <xf numFmtId="0" fontId="4" fillId="0" borderId="4" xfId="0" applyFont="1" applyBorder="1" applyAlignment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/>
    <xf numFmtId="17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/>
    <xf numFmtId="0" fontId="11" fillId="0" borderId="0" xfId="0" applyFont="1" applyAlignment="1"/>
    <xf numFmtId="0" fontId="10" fillId="0" borderId="0" xfId="0" applyFont="1" applyAlignment="1">
      <alignment horizontal="left"/>
    </xf>
    <xf numFmtId="178" fontId="10" fillId="0" borderId="0" xfId="0" applyNumberFormat="1" applyFont="1" applyAlignment="1">
      <alignment horizontal="left"/>
    </xf>
    <xf numFmtId="179" fontId="12" fillId="0" borderId="0" xfId="0" applyNumberFormat="1" applyFont="1" applyAlignment="1">
      <alignment horizontal="left"/>
    </xf>
    <xf numFmtId="0" fontId="13" fillId="0" borderId="0" xfId="0" applyFont="1"/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80" fontId="10" fillId="0" borderId="5" xfId="0" applyNumberFormat="1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14" fillId="0" borderId="5" xfId="0" applyFont="1" applyBorder="1" applyAlignment="1">
      <alignment wrapText="1"/>
    </xf>
    <xf numFmtId="0" fontId="10" fillId="0" borderId="5" xfId="0" applyFont="1" applyBorder="1"/>
    <xf numFmtId="181" fontId="10" fillId="0" borderId="5" xfId="0" applyNumberFormat="1" applyFont="1" applyBorder="1" applyAlignment="1">
      <alignment horizontal="left" vertical="top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58" fontId="10" fillId="0" borderId="5" xfId="0" applyNumberFormat="1" applyFont="1" applyBorder="1" applyAlignment="1">
      <alignment vertical="center"/>
    </xf>
    <xf numFmtId="0" fontId="9" fillId="2" borderId="7" xfId="0" applyFont="1" applyFill="1" applyBorder="1" applyAlignment="1">
      <alignment horizontal="center"/>
    </xf>
    <xf numFmtId="0" fontId="15" fillId="0" borderId="8" xfId="0" applyFont="1" applyBorder="1" applyAlignment="1"/>
    <xf numFmtId="0" fontId="15" fillId="0" borderId="6" xfId="0" applyFont="1" applyBorder="1" applyAlignment="1"/>
    <xf numFmtId="0" fontId="9" fillId="2" borderId="5" xfId="0" applyFont="1" applyFill="1" applyBorder="1"/>
    <xf numFmtId="2" fontId="9" fillId="2" borderId="5" xfId="0" applyNumberFormat="1" applyFont="1" applyFill="1" applyBorder="1"/>
    <xf numFmtId="2" fontId="9" fillId="0" borderId="0" xfId="0" applyNumberFormat="1" applyFont="1"/>
    <xf numFmtId="2" fontId="6" fillId="0" borderId="0" xfId="0" applyNumberFormat="1" applyFont="1"/>
    <xf numFmtId="0" fontId="8" fillId="0" borderId="4" xfId="0" applyFont="1" applyBorder="1"/>
    <xf numFmtId="0" fontId="8" fillId="0" borderId="2" xfId="0" applyFont="1" applyBorder="1"/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3" borderId="5" xfId="0" applyFont="1" applyFill="1" applyBorder="1" applyAlignment="1">
      <alignment horizontal="center"/>
    </xf>
    <xf numFmtId="0" fontId="16" fillId="3" borderId="15" xfId="0" applyFont="1" applyFill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8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/>
    </xf>
    <xf numFmtId="0" fontId="8" fillId="0" borderId="5" xfId="0" applyFont="1" applyBorder="1"/>
    <xf numFmtId="0" fontId="8" fillId="0" borderId="7" xfId="0" applyFont="1" applyBorder="1" applyAlignment="1">
      <alignment vertical="top"/>
    </xf>
    <xf numFmtId="0" fontId="17" fillId="0" borderId="7" xfId="0" applyFont="1" applyBorder="1"/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8" fillId="0" borderId="16" xfId="0" applyFont="1" applyBorder="1" applyAlignment="1">
      <alignment vertical="top"/>
    </xf>
    <xf numFmtId="0" fontId="8" fillId="0" borderId="17" xfId="0" applyFont="1" applyBorder="1"/>
    <xf numFmtId="0" fontId="8" fillId="0" borderId="17" xfId="0" applyFont="1" applyBorder="1" applyAlignment="1">
      <alignment vertical="top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6" xfId="0" applyFont="1" applyBorder="1" applyAlignment="1">
      <alignment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8" fillId="4" borderId="0" xfId="0" applyFont="1" applyFill="1"/>
    <xf numFmtId="0" fontId="18" fillId="3" borderId="0" xfId="0" applyFont="1" applyFill="1" applyAlignment="1">
      <alignment horizontal="center"/>
    </xf>
    <xf numFmtId="0" fontId="4" fillId="0" borderId="0" xfId="0" applyFont="1" applyAlignment="1"/>
    <xf numFmtId="0" fontId="16" fillId="3" borderId="7" xfId="0" applyFont="1" applyFill="1" applyBorder="1" applyAlignment="1">
      <alignment horizontal="center"/>
    </xf>
    <xf numFmtId="58" fontId="19" fillId="0" borderId="7" xfId="0" applyNumberFormat="1" applyFont="1" applyBorder="1" applyAlignment="1">
      <alignment horizontal="center"/>
    </xf>
    <xf numFmtId="58" fontId="8" fillId="0" borderId="7" xfId="0" applyNumberFormat="1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8" xfId="0" applyFont="1" applyBorder="1" applyAlignment="1"/>
    <xf numFmtId="0" fontId="4" fillId="0" borderId="6" xfId="0" applyFont="1" applyBorder="1" applyAlignment="1"/>
    <xf numFmtId="0" fontId="19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 vertical="top" wrapText="1"/>
    </xf>
    <xf numFmtId="0" fontId="6" fillId="5" borderId="0" xfId="0" applyFont="1" applyFill="1" applyAlignment="1">
      <alignment horizontal="center"/>
    </xf>
    <xf numFmtId="182" fontId="8" fillId="5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name val="Calibri"/>
        <scheme val="none"/>
        <charset val="134"/>
        <b val="0"/>
        <i val="0"/>
        <strike val="0"/>
        <u val="none"/>
        <sz val="10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0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0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0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0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0"/>
        <color rgb="FF000000"/>
      </font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egend-style" pivot="0" count="3" xr9:uid="{AE633A40-FA19-41C3-9381-6921C92D30BC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29</xdr:col>
      <xdr:colOff>28575</xdr:colOff>
      <xdr:row>33</xdr:row>
      <xdr:rowOff>66675</xdr:rowOff>
    </xdr:from>
    <xdr:ext cx="1428750" cy="36195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002145" y="5934075"/>
          <a:ext cx="1428750" cy="3619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123825</xdr:rowOff>
    </xdr:from>
    <xdr:ext cx="1733550" cy="35560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54305" y="123825"/>
          <a:ext cx="1733550" cy="355600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Version="5" refreshedDate="46051.6115740741" refreshedBy="ThinkPad" recordCount="46">
  <cacheSource type="worksheet">
    <worksheetSource ref="B13:H59" sheet="Jan"/>
  </cacheSource>
  <cacheFields count="7">
    <cacheField name="Date" numFmtId="180">
      <sharedItems containsSemiMixedTypes="0" containsString="0" containsNonDate="0" containsDate="1" minDate="2025-01-01T00:00:00" maxDate="2025-12-30T00:00:00" count="22">
        <d v="2025-12-30T00:00:00"/>
        <d v="2025-01-01T00:00:00"/>
        <d v="2025-01-02T00:00:00"/>
        <d v="2025-01-03T00:00:00"/>
        <d v="2025-01-04T00:00:00"/>
        <d v="2025-01-05T00:00:00"/>
        <d v="2025-01-06T00:00:00"/>
        <d v="2025-01-08T00:00:00"/>
        <d v="2025-01-09T00:00:00"/>
        <d v="2025-01-12T00:00:00"/>
        <d v="2025-01-13T00:00:00"/>
        <d v="2025-01-14T00:00:00"/>
        <d v="2025-01-15T00:00:00"/>
        <d v="2025-01-16T00:00:00"/>
        <d v="2025-01-18T00:00:00"/>
        <d v="2025-01-19T00:00:00"/>
        <d v="2025-01-20T00:00:00"/>
        <d v="2025-01-21T00:00:00"/>
        <d v="2025-01-22T00:00:00"/>
        <d v="2025-01-23T00:00:00"/>
        <d v="2025-01-26T00:00:00"/>
        <d v="2025-01-27T00:00:00"/>
      </sharedItems>
    </cacheField>
    <cacheField name="Type" numFmtId="0">
      <sharedItems count="2">
        <s v="Papierkram"/>
        <s v="Others"/>
      </sharedItems>
    </cacheField>
    <cacheField name="Task" numFmtId="0">
      <sharedItems count="35">
        <s v="[Meeting] Catch-Up Status"/>
        <s v="[Development] UI Improvements"/>
        <s v="[Development] Intergrate Status Matrix"/>
        <s v="[Development] Fix Status Matrix Bugs Based on Button Actions"/>
        <s v="[Development] Implement Dialog for Activity App (Worklist &amp; Detail)"/>
        <s v="[Development] Implement Dialog for Activity App (Create &amp; Filter)"/>
        <s v="[Meeting] Brose Certificate Management"/>
        <s v="[Development] Improve UI for Document Settings App (Field &amp; Category Definitions)"/>
        <s v="[Development] Integrate CRUD API for Document Types"/>
        <s v="[Meeting] Small ball dev 2026"/>
        <s v="[Training] CPI Training Program - Meeting Request"/>
        <s v="[Development] Improve Document Settings UI"/>
        <s v="[Development] Implement Infinite Scrolling for Task and Activity Lists"/>
        <s v="[Development] Implement Document and Attachment Upload"/>
        <s v="[Development] Automatically Add Task Node to Task Flow upon Creation"/>
        <s v="[Development] Implement Dynamic Field Insertion into Additional Data"/>
        <s v="[Fix Bug ] Resolve Issues in Activity Worklist and Creation Popup"/>
        <s v="[Meeting ] Brose Certificate - Discuss for Auhthorization topic"/>
        <s v="[Development] Fix Multilingual Display Issues for Technical Fields"/>
        <s v="[Development] Implement Actions for Task Card Buttons (Open, Edit, Add, Delete)"/>
        <s v="[Development] Integrate Task Card APIs for Open, Edit, Add, and Delete Actions"/>
        <s v="[Meeting ] Catch-Up Status"/>
        <s v="[Meeting ] Year-End Review &amp; 2026 Kick-off – conarum Vietnam"/>
        <s v="[Meeting ] Coordination Meeting 10: Certificate Management at Brose"/>
        <s v="[Development] Persist User Input Data to Local Storage (Activity Details &amp; Create Activity)"/>
        <s v="[Development] Build Design System for Activity Theme, Colors, and Fonts Configuration"/>
        <s v="[Development] Persist User Input Data to Local Storage (Task Details &amp; Create Task)"/>
        <s v="[Development ] Intergrate Button Back &amp; Reload Into Portal"/>
        <s v="[Development] Clear Draft Data from Local Storage on Page Reload (Create Activity &amp; Task)"/>
        <s v="[Fix Bug ] Resolve Multilingual and Date/Time Format Issues in Activity &amp; Task App"/>
        <s v="[Training ] BTP AI Development"/>
        <s v="[Development] Integrate Drag &amp; Drop for Task Flow"/>
        <s v="[Training ] conarum Vietnam - CAP Training batch 01/2026"/>
        <s v="[Meeting ] Discuss for outcomes &amp; estimation for next sprints"/>
        <s v="[Development ] Intergrate Drag &amp; Drop For Taskflow"/>
      </sharedItems>
    </cacheField>
    <cacheField name="onsite" numFmtId="0">
      <sharedItems containsString="0" containsBlank="1" containsNonDate="0" count="1">
        <m/>
      </sharedItems>
    </cacheField>
    <cacheField name="Hours" numFmtId="181">
      <sharedItems containsSemiMixedTypes="0" containsString="0" containsNumber="1" minValue="0.5" maxValue="8" count="12">
        <n v="0.5"/>
        <n v="7.5"/>
        <n v="8"/>
        <n v="1"/>
        <n v="3"/>
        <n v="6.5"/>
        <n v="2"/>
        <n v="4"/>
        <n v="7"/>
        <n v="6"/>
        <n v="1.5"/>
        <n v="4.5"/>
      </sharedItems>
    </cacheField>
    <cacheField name="Project(Papierkram)" numFmtId="0">
      <sharedItems containsBlank="1" count="3">
        <s v="4501725747-10-Certificate-Development-offshore"/>
        <m/>
        <s v="2025_0002_KARON_MAHLE" u="1"/>
      </sharedItems>
    </cacheField>
    <cacheField name="Note (Internal Projects name)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x v="0"/>
    <x v="0"/>
    <x v="0"/>
    <x v="0"/>
    <x v="0"/>
    <x v="0"/>
    <x v="0"/>
  </r>
  <r>
    <x v="0"/>
    <x v="0"/>
    <x v="1"/>
    <x v="0"/>
    <x v="1"/>
    <x v="0"/>
    <x v="0"/>
  </r>
  <r>
    <x v="1"/>
    <x v="0"/>
    <x v="0"/>
    <x v="0"/>
    <x v="0"/>
    <x v="0"/>
    <x v="0"/>
  </r>
  <r>
    <x v="1"/>
    <x v="0"/>
    <x v="2"/>
    <x v="0"/>
    <x v="1"/>
    <x v="0"/>
    <x v="0"/>
  </r>
  <r>
    <x v="2"/>
    <x v="0"/>
    <x v="3"/>
    <x v="0"/>
    <x v="2"/>
    <x v="0"/>
    <x v="0"/>
  </r>
  <r>
    <x v="3"/>
    <x v="0"/>
    <x v="0"/>
    <x v="0"/>
    <x v="0"/>
    <x v="0"/>
    <x v="0"/>
  </r>
  <r>
    <x v="3"/>
    <x v="0"/>
    <x v="4"/>
    <x v="0"/>
    <x v="1"/>
    <x v="0"/>
    <x v="0"/>
  </r>
  <r>
    <x v="4"/>
    <x v="0"/>
    <x v="5"/>
    <x v="0"/>
    <x v="2"/>
    <x v="0"/>
    <x v="0"/>
  </r>
  <r>
    <x v="5"/>
    <x v="0"/>
    <x v="6"/>
    <x v="0"/>
    <x v="0"/>
    <x v="0"/>
    <x v="0"/>
  </r>
  <r>
    <x v="5"/>
    <x v="0"/>
    <x v="7"/>
    <x v="0"/>
    <x v="1"/>
    <x v="0"/>
    <x v="0"/>
  </r>
  <r>
    <x v="6"/>
    <x v="0"/>
    <x v="0"/>
    <x v="0"/>
    <x v="0"/>
    <x v="0"/>
    <x v="0"/>
  </r>
  <r>
    <x v="6"/>
    <x v="0"/>
    <x v="8"/>
    <x v="0"/>
    <x v="1"/>
    <x v="0"/>
    <x v="0"/>
  </r>
  <r>
    <x v="7"/>
    <x v="1"/>
    <x v="9"/>
    <x v="0"/>
    <x v="3"/>
    <x v="1"/>
    <x v="0"/>
  </r>
  <r>
    <x v="7"/>
    <x v="0"/>
    <x v="0"/>
    <x v="0"/>
    <x v="0"/>
    <x v="0"/>
    <x v="0"/>
  </r>
  <r>
    <x v="7"/>
    <x v="1"/>
    <x v="10"/>
    <x v="0"/>
    <x v="4"/>
    <x v="1"/>
    <x v="0"/>
  </r>
  <r>
    <x v="7"/>
    <x v="0"/>
    <x v="11"/>
    <x v="0"/>
    <x v="5"/>
    <x v="0"/>
    <x v="0"/>
  </r>
  <r>
    <x v="8"/>
    <x v="0"/>
    <x v="12"/>
    <x v="0"/>
    <x v="6"/>
    <x v="0"/>
    <x v="0"/>
  </r>
  <r>
    <x v="8"/>
    <x v="0"/>
    <x v="13"/>
    <x v="0"/>
    <x v="6"/>
    <x v="0"/>
    <x v="0"/>
  </r>
  <r>
    <x v="8"/>
    <x v="0"/>
    <x v="14"/>
    <x v="0"/>
    <x v="7"/>
    <x v="0"/>
    <x v="0"/>
  </r>
  <r>
    <x v="9"/>
    <x v="0"/>
    <x v="15"/>
    <x v="0"/>
    <x v="2"/>
    <x v="0"/>
    <x v="0"/>
  </r>
  <r>
    <x v="9"/>
    <x v="1"/>
    <x v="10"/>
    <x v="0"/>
    <x v="4"/>
    <x v="1"/>
    <x v="0"/>
  </r>
  <r>
    <x v="10"/>
    <x v="0"/>
    <x v="16"/>
    <x v="0"/>
    <x v="7"/>
    <x v="0"/>
    <x v="0"/>
  </r>
  <r>
    <x v="10"/>
    <x v="0"/>
    <x v="17"/>
    <x v="0"/>
    <x v="6"/>
    <x v="0"/>
    <x v="0"/>
  </r>
  <r>
    <x v="10"/>
    <x v="0"/>
    <x v="18"/>
    <x v="0"/>
    <x v="6"/>
    <x v="0"/>
    <x v="0"/>
  </r>
  <r>
    <x v="11"/>
    <x v="0"/>
    <x v="19"/>
    <x v="0"/>
    <x v="2"/>
    <x v="0"/>
    <x v="0"/>
  </r>
  <r>
    <x v="12"/>
    <x v="0"/>
    <x v="20"/>
    <x v="0"/>
    <x v="8"/>
    <x v="0"/>
    <x v="0"/>
  </r>
  <r>
    <x v="12"/>
    <x v="0"/>
    <x v="21"/>
    <x v="0"/>
    <x v="3"/>
    <x v="0"/>
    <x v="0"/>
  </r>
  <r>
    <x v="13"/>
    <x v="1"/>
    <x v="22"/>
    <x v="0"/>
    <x v="3"/>
    <x v="1"/>
    <x v="0"/>
  </r>
  <r>
    <x v="13"/>
    <x v="0"/>
    <x v="23"/>
    <x v="0"/>
    <x v="3"/>
    <x v="0"/>
    <x v="0"/>
  </r>
  <r>
    <x v="13"/>
    <x v="0"/>
    <x v="24"/>
    <x v="0"/>
    <x v="9"/>
    <x v="0"/>
    <x v="0"/>
  </r>
  <r>
    <x v="14"/>
    <x v="1"/>
    <x v="25"/>
    <x v="0"/>
    <x v="7"/>
    <x v="1"/>
    <x v="0"/>
  </r>
  <r>
    <x v="15"/>
    <x v="1"/>
    <x v="10"/>
    <x v="0"/>
    <x v="4"/>
    <x v="1"/>
    <x v="0"/>
  </r>
  <r>
    <x v="15"/>
    <x v="0"/>
    <x v="26"/>
    <x v="0"/>
    <x v="2"/>
    <x v="0"/>
    <x v="0"/>
  </r>
  <r>
    <x v="16"/>
    <x v="0"/>
    <x v="21"/>
    <x v="0"/>
    <x v="3"/>
    <x v="0"/>
    <x v="0"/>
  </r>
  <r>
    <x v="16"/>
    <x v="0"/>
    <x v="27"/>
    <x v="0"/>
    <x v="8"/>
    <x v="0"/>
    <x v="0"/>
  </r>
  <r>
    <x v="17"/>
    <x v="0"/>
    <x v="28"/>
    <x v="0"/>
    <x v="2"/>
    <x v="0"/>
    <x v="0"/>
  </r>
  <r>
    <x v="18"/>
    <x v="0"/>
    <x v="21"/>
    <x v="0"/>
    <x v="3"/>
    <x v="0"/>
    <x v="0"/>
  </r>
  <r>
    <x v="18"/>
    <x v="0"/>
    <x v="29"/>
    <x v="0"/>
    <x v="8"/>
    <x v="0"/>
    <x v="0"/>
  </r>
  <r>
    <x v="18"/>
    <x v="1"/>
    <x v="10"/>
    <x v="0"/>
    <x v="4"/>
    <x v="1"/>
    <x v="0"/>
  </r>
  <r>
    <x v="19"/>
    <x v="1"/>
    <x v="30"/>
    <x v="0"/>
    <x v="6"/>
    <x v="1"/>
    <x v="0"/>
  </r>
  <r>
    <x v="20"/>
    <x v="0"/>
    <x v="31"/>
    <x v="0"/>
    <x v="2"/>
    <x v="0"/>
    <x v="0"/>
  </r>
  <r>
    <x v="21"/>
    <x v="1"/>
    <x v="32"/>
    <x v="0"/>
    <x v="10"/>
    <x v="1"/>
    <x v="0"/>
  </r>
  <r>
    <x v="21"/>
    <x v="0"/>
    <x v="33"/>
    <x v="0"/>
    <x v="0"/>
    <x v="0"/>
    <x v="0"/>
  </r>
  <r>
    <x v="21"/>
    <x v="0"/>
    <x v="0"/>
    <x v="0"/>
    <x v="0"/>
    <x v="0"/>
    <x v="0"/>
  </r>
  <r>
    <x v="21"/>
    <x v="0"/>
    <x v="34"/>
    <x v="0"/>
    <x v="11"/>
    <x v="0"/>
    <x v="0"/>
  </r>
  <r>
    <x v="21"/>
    <x v="1"/>
    <x v="32"/>
    <x v="0"/>
    <x v="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June" cacheId="0" autoFormatId="1" applyNumberFormats="0" applyBorderFormats="0" applyFontFormats="0" applyPatternFormats="0" applyAlignmentFormats="0" applyWidthHeightFormats="1" dataCaption="" updatedVersion="5" compact="0" compactData="0" showDrill="1">
  <location ref="J1:K4" firstHeaderRow="1" firstDataRow="1" firstDataCol="1"/>
  <pivotFields count="7">
    <pivotField compact="0" outline="0" multipleItemSelectionAllowed="1" numFmtId="183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14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>
      <items count="13">
        <item x="0"/>
        <item x="3"/>
        <item x="10"/>
        <item x="6"/>
        <item x="4"/>
        <item x="1"/>
        <item x="2"/>
        <item x="5"/>
        <item x="7"/>
        <item x="8"/>
        <item x="9"/>
        <item x="11"/>
        <item t="default"/>
      </items>
    </pivotField>
    <pivotField axis="axisRow" compact="0" outline="0" multipleItemSelectionAllowed="1" showAll="0">
      <items count="4">
        <item m="1" x="2"/>
        <item x="1"/>
        <item x="0"/>
        <item t="default"/>
      </items>
    </pivotField>
    <pivotField compact="0" outline="0" multipleItemSelectionAllowed="1" showAll="0"/>
  </pivotFields>
  <rowFields count="1">
    <field x="5"/>
  </rowFields>
  <rowItems count="3">
    <i>
      <x v="1"/>
    </i>
    <i>
      <x v="2"/>
    </i>
    <i t="grand">
      <x/>
    </i>
  </rowItems>
  <colItems count="1">
    <i/>
  </colItems>
  <dataFields count="1">
    <dataField name="Sum of Hours" fld="4" baseField="0" baseItem="0"/>
  </dataFields>
  <pivotTableStyleInfo showRowHeaders="1" showColHeaders="1" showLastColumn="1"/>
</pivotTableDefinition>
</file>

<file path=xl/tables/table1.xml><?xml version="1.0" encoding="utf-8"?>
<table xmlns="http://schemas.openxmlformats.org/spreadsheetml/2006/main" id="1" name="Table_1" displayName="Table_1" ref="B2:G46">
  <tableColumns count="6">
    <tableColumn id="1" name="Customer" dataDxfId="0"/>
    <tableColumn id="2" name="Papierkram/Project Code" dataDxfId="1"/>
    <tableColumn id="3" name="Project Name" dataDxfId="2"/>
    <tableColumn id="4" name="Active" dataDxfId="3"/>
    <tableColumn id="5" name="Project Manager" dataDxfId="4"/>
    <tableColumn id="6" name="Note" dataDxfId="5"/>
  </tableColumns>
  <tableStyleInfo name="legen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vmlDrawing" Target="../drawings/vmlDrawing1.vml"/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J1000"/>
  <sheetViews>
    <sheetView showGridLines="0" zoomScale="145" zoomScaleNormal="145" topLeftCell="A7" workbookViewId="0">
      <selection activeCell="H20" sqref="H20:J20"/>
    </sheetView>
  </sheetViews>
  <sheetFormatPr defaultColWidth="14.43" defaultRowHeight="15" customHeight="1"/>
  <cols>
    <col min="1" max="7" width="3.57" customWidth="1"/>
    <col min="8" max="8" width="7.86" customWidth="1"/>
    <col min="9" max="23" width="3.57" customWidth="1"/>
    <col min="24" max="24" width="5.57" customWidth="1"/>
    <col min="25" max="36" width="3.57" customWidth="1"/>
  </cols>
  <sheetData>
    <row r="1" ht="12.75" customHeight="1"/>
    <row r="2" ht="12.75" customHeight="1" spans="2:5">
      <c r="B2" s="78"/>
      <c r="C2" s="78"/>
      <c r="E2" s="78"/>
    </row>
    <row r="3" ht="12" customHeight="1" spans="2:25">
      <c r="B3" s="78"/>
      <c r="C3" s="78"/>
      <c r="Y3" s="45"/>
    </row>
    <row r="4" ht="12.75" customHeight="1" spans="8:31">
      <c r="H4" s="79" t="s">
        <v>0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</row>
    <row r="5" ht="12.75" customHeight="1" spans="4:31">
      <c r="D5" s="78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</row>
    <row r="6" ht="12" customHeight="1" spans="4:31">
      <c r="D6" s="78"/>
      <c r="AA6" s="93" t="s">
        <v>1</v>
      </c>
      <c r="AB6" s="80"/>
      <c r="AC6" s="80"/>
      <c r="AD6" s="94">
        <v>1.2</v>
      </c>
      <c r="AE6" s="80"/>
    </row>
    <row r="7" ht="12.75" customHeight="1"/>
    <row r="8" ht="12.75" customHeight="1"/>
    <row r="9" ht="12" customHeight="1"/>
    <row r="10" ht="12" customHeight="1"/>
    <row r="11" ht="12" customHeight="1"/>
    <row r="12" ht="12" customHeight="1"/>
    <row r="13" ht="12" customHeight="1" spans="8:31">
      <c r="H13" s="81" t="s">
        <v>2</v>
      </c>
      <c r="I13" s="87"/>
      <c r="J13" s="87"/>
      <c r="K13" s="88"/>
      <c r="L13" s="81" t="s">
        <v>3</v>
      </c>
      <c r="M13" s="87"/>
      <c r="N13" s="88"/>
      <c r="O13" s="81" t="s">
        <v>4</v>
      </c>
      <c r="P13" s="87"/>
      <c r="Q13" s="88"/>
      <c r="R13" s="81" t="s">
        <v>5</v>
      </c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8"/>
    </row>
    <row r="14" ht="12" customHeight="1" spans="8:31">
      <c r="H14" s="82">
        <v>45873</v>
      </c>
      <c r="I14" s="87"/>
      <c r="J14" s="87"/>
      <c r="K14" s="88"/>
      <c r="L14" s="89" t="s">
        <v>6</v>
      </c>
      <c r="M14" s="87"/>
      <c r="N14" s="88"/>
      <c r="O14" s="89" t="s">
        <v>7</v>
      </c>
      <c r="P14" s="87"/>
      <c r="Q14" s="88"/>
      <c r="R14" s="89" t="s">
        <v>8</v>
      </c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8"/>
    </row>
    <row r="15" ht="12" customHeight="1" spans="8:31">
      <c r="H15" s="83">
        <v>45694</v>
      </c>
      <c r="I15" s="87"/>
      <c r="J15" s="87"/>
      <c r="K15" s="88"/>
      <c r="L15" s="90" t="s">
        <v>9</v>
      </c>
      <c r="M15" s="87"/>
      <c r="N15" s="88"/>
      <c r="O15" s="89" t="s">
        <v>7</v>
      </c>
      <c r="P15" s="87"/>
      <c r="Q15" s="88"/>
      <c r="R15" s="89" t="s">
        <v>10</v>
      </c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8"/>
    </row>
    <row r="16" ht="12" customHeight="1"/>
    <row r="17" ht="12" customHeight="1" spans="8:31">
      <c r="H17" s="81" t="s">
        <v>11</v>
      </c>
      <c r="I17" s="87"/>
      <c r="J17" s="88"/>
      <c r="K17" s="81" t="s">
        <v>12</v>
      </c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8"/>
    </row>
    <row r="18" ht="12" customHeight="1" spans="8:31">
      <c r="H18" s="84" t="s">
        <v>13</v>
      </c>
      <c r="I18" s="87"/>
      <c r="J18" s="88"/>
      <c r="K18" s="91" t="s">
        <v>14</v>
      </c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8"/>
    </row>
    <row r="19" ht="33" customHeight="1" spans="5:31">
      <c r="E19" s="12"/>
      <c r="F19" s="12"/>
      <c r="H19" s="85" t="s">
        <v>15</v>
      </c>
      <c r="I19" s="87"/>
      <c r="J19" s="88"/>
      <c r="K19" s="92" t="s">
        <v>16</v>
      </c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8"/>
    </row>
    <row r="20" ht="36" customHeight="1" spans="8:31">
      <c r="H20" s="86" t="s">
        <v>17</v>
      </c>
      <c r="I20" s="87"/>
      <c r="J20" s="88"/>
      <c r="K20" s="92" t="s">
        <v>18</v>
      </c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8"/>
    </row>
    <row r="21" ht="12" customHeight="1"/>
    <row r="22" ht="28.5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 spans="30:36">
      <c r="AD35" s="45"/>
      <c r="AE35" s="2"/>
      <c r="AF35" s="2"/>
      <c r="AG35" s="2"/>
      <c r="AH35" s="2"/>
      <c r="AI35" s="2"/>
      <c r="AJ35" s="2"/>
    </row>
    <row r="36" ht="12" customHeight="1"/>
    <row r="37" ht="12" customHeight="1" spans="2:35"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</row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24">
    <mergeCell ref="AA6:AC6"/>
    <mergeCell ref="AD6:AE6"/>
    <mergeCell ref="H13:K13"/>
    <mergeCell ref="L13:N13"/>
    <mergeCell ref="O13:Q13"/>
    <mergeCell ref="R13:AE13"/>
    <mergeCell ref="H14:K14"/>
    <mergeCell ref="L14:N14"/>
    <mergeCell ref="O14:Q14"/>
    <mergeCell ref="R14:AE14"/>
    <mergeCell ref="H15:K15"/>
    <mergeCell ref="L15:N15"/>
    <mergeCell ref="O15:Q15"/>
    <mergeCell ref="R15:AE15"/>
    <mergeCell ref="H17:J17"/>
    <mergeCell ref="K17:AE17"/>
    <mergeCell ref="H18:J18"/>
    <mergeCell ref="K18:AE18"/>
    <mergeCell ref="H19:J19"/>
    <mergeCell ref="K19:AE19"/>
    <mergeCell ref="H20:J20"/>
    <mergeCell ref="K20:AE20"/>
    <mergeCell ref="AD35:AJ35"/>
    <mergeCell ref="H4:AE5"/>
  </mergeCells>
  <pageMargins left="0.7" right="0.7" top="0.75" bottom="0.75" header="0" footer="0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000"/>
  <sheetViews>
    <sheetView topLeftCell="B1" workbookViewId="0">
      <selection activeCell="F21" sqref="F21"/>
    </sheetView>
  </sheetViews>
  <sheetFormatPr defaultColWidth="14.43" defaultRowHeight="15" customHeight="1" outlineLevelCol="6"/>
  <cols>
    <col min="1" max="1" width="3.29" customWidth="1"/>
    <col min="2" max="2" width="23.43" customWidth="1"/>
    <col min="3" max="3" width="63.43" customWidth="1"/>
    <col min="4" max="4" width="42.14" customWidth="1"/>
    <col min="5" max="5" width="21.14" customWidth="1"/>
    <col min="6" max="6" width="19.29" customWidth="1"/>
    <col min="7" max="7" width="26.86" customWidth="1"/>
    <col min="8" max="26" width="8.71" customWidth="1"/>
  </cols>
  <sheetData>
    <row r="1" ht="12" customHeight="1"/>
    <row r="2" ht="12" customHeight="1" spans="2:7">
      <c r="B2" s="54" t="s">
        <v>19</v>
      </c>
      <c r="C2" s="54" t="s">
        <v>20</v>
      </c>
      <c r="D2" s="54" t="s">
        <v>21</v>
      </c>
      <c r="E2" s="54" t="s">
        <v>22</v>
      </c>
      <c r="F2" s="54" t="s">
        <v>23</v>
      </c>
      <c r="G2" s="55" t="s">
        <v>12</v>
      </c>
    </row>
    <row r="3" ht="12" customHeight="1" spans="2:7">
      <c r="B3" s="56" t="s">
        <v>24</v>
      </c>
      <c r="C3" s="57" t="s">
        <v>25</v>
      </c>
      <c r="D3" s="58" t="str">
        <f t="shared" ref="D3:D32" si="0">B3&amp;"-"&amp;C3</f>
        <v>Spirit/21-Schunk div. Papierkram Projects</v>
      </c>
      <c r="E3" s="59" t="s">
        <v>22</v>
      </c>
      <c r="F3" s="59" t="s">
        <v>26</v>
      </c>
      <c r="G3" s="57"/>
    </row>
    <row r="4" ht="12" customHeight="1" spans="2:7">
      <c r="B4" s="56" t="s">
        <v>24</v>
      </c>
      <c r="C4" s="57" t="s">
        <v>27</v>
      </c>
      <c r="D4" s="58" t="str">
        <f t="shared" si="0"/>
        <v>Spirit/21-1286000-47040-01 - Spirit - Storopack Hans Reichenecker </v>
      </c>
      <c r="E4" s="59" t="s">
        <v>22</v>
      </c>
      <c r="F4" s="59" t="s">
        <v>28</v>
      </c>
      <c r="G4" s="57"/>
    </row>
    <row r="5" ht="12" customHeight="1" spans="2:7">
      <c r="B5" s="56" t="s">
        <v>29</v>
      </c>
      <c r="C5" s="57" t="s">
        <v>30</v>
      </c>
      <c r="D5" s="58" t="str">
        <f t="shared" si="0"/>
        <v>KARON -2025_0001_KARON_EV_KNORR_BREMSE</v>
      </c>
      <c r="E5" s="59" t="s">
        <v>22</v>
      </c>
      <c r="F5" s="59" t="s">
        <v>31</v>
      </c>
      <c r="G5" s="57"/>
    </row>
    <row r="6" ht="12" customHeight="1" spans="2:7">
      <c r="B6" s="60" t="s">
        <v>29</v>
      </c>
      <c r="C6" s="57" t="s">
        <v>32</v>
      </c>
      <c r="D6" s="58" t="str">
        <f t="shared" si="0"/>
        <v>KARON -2025_0002_KARON_MAHLE</v>
      </c>
      <c r="E6" s="59" t="s">
        <v>22</v>
      </c>
      <c r="F6" s="59" t="s">
        <v>31</v>
      </c>
      <c r="G6" s="57"/>
    </row>
    <row r="7" ht="12" customHeight="1" spans="2:7">
      <c r="B7" s="60" t="s">
        <v>33</v>
      </c>
      <c r="C7" s="57" t="s">
        <v>34</v>
      </c>
      <c r="D7" s="58" t="str">
        <f t="shared" si="0"/>
        <v>DNUS-proFRM</v>
      </c>
      <c r="E7" s="59" t="s">
        <v>22</v>
      </c>
      <c r="F7" s="59" t="s">
        <v>35</v>
      </c>
      <c r="G7" s="57"/>
    </row>
    <row r="8" ht="12" customHeight="1" spans="2:7">
      <c r="B8" s="60" t="s">
        <v>36</v>
      </c>
      <c r="C8" s="57" t="s">
        <v>37</v>
      </c>
      <c r="D8" s="58" t="str">
        <f t="shared" si="0"/>
        <v>biotest-4530039906_10_biotest_2025: Support MM/SRM</v>
      </c>
      <c r="E8" s="59" t="s">
        <v>22</v>
      </c>
      <c r="F8" s="59" t="s">
        <v>31</v>
      </c>
      <c r="G8" s="57"/>
    </row>
    <row r="9" ht="12" customHeight="1" spans="2:7">
      <c r="B9" s="60" t="s">
        <v>38</v>
      </c>
      <c r="C9" s="57" t="s">
        <v>39</v>
      </c>
      <c r="D9" s="58" t="str">
        <f t="shared" si="0"/>
        <v>manrolandgoss-4501144702 - SAP-Support</v>
      </c>
      <c r="E9" s="59" t="s">
        <v>22</v>
      </c>
      <c r="F9" s="59" t="s">
        <v>26</v>
      </c>
      <c r="G9" s="57"/>
    </row>
    <row r="10" ht="12" customHeight="1" spans="2:7">
      <c r="B10" s="60" t="s">
        <v>38</v>
      </c>
      <c r="C10" s="57" t="s">
        <v>40</v>
      </c>
      <c r="D10" s="58" t="str">
        <f t="shared" si="0"/>
        <v>manrolandgoss-4501183526-10/20 - manrolandgoss level 2 </v>
      </c>
      <c r="E10" s="59" t="s">
        <v>22</v>
      </c>
      <c r="F10" s="59" t="s">
        <v>26</v>
      </c>
      <c r="G10" s="57"/>
    </row>
    <row r="11" ht="12" customHeight="1" spans="2:7">
      <c r="B11" s="60" t="s">
        <v>41</v>
      </c>
      <c r="C11" s="61" t="s">
        <v>42</v>
      </c>
      <c r="D11" s="58" t="str">
        <f t="shared" si="0"/>
        <v>Bosch Rexorth-PR1-8320090824- DC - Grownfield S/4 HANA</v>
      </c>
      <c r="E11" s="59" t="s">
        <v>22</v>
      </c>
      <c r="F11" s="59" t="s">
        <v>28</v>
      </c>
      <c r="G11" s="57"/>
    </row>
    <row r="12" ht="12" customHeight="1" spans="2:7">
      <c r="B12" s="60" t="s">
        <v>43</v>
      </c>
      <c r="C12" s="62" t="s">
        <v>44</v>
      </c>
      <c r="D12" s="58" t="str">
        <f t="shared" si="0"/>
        <v>Wacker Chemie AG-9106075697- Support 2023</v>
      </c>
      <c r="E12" s="59" t="s">
        <v>22</v>
      </c>
      <c r="F12" s="59" t="s">
        <v>31</v>
      </c>
      <c r="G12" s="57"/>
    </row>
    <row r="13" ht="12" customHeight="1" spans="2:7">
      <c r="B13" s="60" t="s">
        <v>43</v>
      </c>
      <c r="C13" s="62" t="s">
        <v>45</v>
      </c>
      <c r="D13" s="58" t="str">
        <f t="shared" si="0"/>
        <v>Wacker Chemie AG-9106701418 - Realisierung ERSA_FioriApp-ZMMP</v>
      </c>
      <c r="E13" s="59" t="s">
        <v>22</v>
      </c>
      <c r="F13" s="59" t="s">
        <v>31</v>
      </c>
      <c r="G13" s="57"/>
    </row>
    <row r="14" ht="12" customHeight="1" spans="2:7">
      <c r="B14" s="60" t="s">
        <v>43</v>
      </c>
      <c r="C14" s="62" t="s">
        <v>46</v>
      </c>
      <c r="D14" s="58" t="str">
        <f t="shared" si="0"/>
        <v>Wacker Chemie AG-9106884529 - Fiori App Interne Meldung</v>
      </c>
      <c r="E14" s="59" t="s">
        <v>22</v>
      </c>
      <c r="F14" s="59" t="s">
        <v>31</v>
      </c>
      <c r="G14" s="57"/>
    </row>
    <row r="15" ht="12" customHeight="1" spans="2:7">
      <c r="B15" s="60" t="s">
        <v>47</v>
      </c>
      <c r="C15" s="57" t="s">
        <v>48</v>
      </c>
      <c r="D15" s="58" t="str">
        <f t="shared" si="0"/>
        <v>Siltronic-4501917977 - Support 2025</v>
      </c>
      <c r="E15" s="59" t="s">
        <v>22</v>
      </c>
      <c r="F15" s="59" t="s">
        <v>49</v>
      </c>
      <c r="G15" s="57"/>
    </row>
    <row r="16" ht="12" customHeight="1" spans="2:7">
      <c r="B16" s="60" t="s">
        <v>50</v>
      </c>
      <c r="C16" s="57" t="s">
        <v>51</v>
      </c>
      <c r="D16" s="58" t="str">
        <f t="shared" si="0"/>
        <v>Uni Klinikum Düsseldorf UKD-Support 2025 Bestellung SAP kommt noch</v>
      </c>
      <c r="E16" s="59" t="s">
        <v>22</v>
      </c>
      <c r="F16" s="59" t="s">
        <v>49</v>
      </c>
      <c r="G16" s="57"/>
    </row>
    <row r="17" ht="12" customHeight="1" spans="2:7">
      <c r="B17" s="60" t="s">
        <v>52</v>
      </c>
      <c r="C17" s="62" t="s">
        <v>53</v>
      </c>
      <c r="D17" s="58" t="str">
        <f t="shared" si="0"/>
        <v>SteB Köln-4500115491 - StEB Köln - Support 2025</v>
      </c>
      <c r="E17" s="59" t="s">
        <v>22</v>
      </c>
      <c r="F17" s="59" t="s">
        <v>49</v>
      </c>
      <c r="G17" s="57"/>
    </row>
    <row r="18" ht="12" customHeight="1" spans="2:7">
      <c r="B18" s="60" t="s">
        <v>41</v>
      </c>
      <c r="C18" s="61" t="s">
        <v>54</v>
      </c>
      <c r="D18" s="58" t="str">
        <f t="shared" si="0"/>
        <v>Bosch Rexorth-XXXXX- DC - Grownfield S/4 HANA (150)</v>
      </c>
      <c r="E18" s="59" t="s">
        <v>22</v>
      </c>
      <c r="F18" s="59" t="s">
        <v>28</v>
      </c>
      <c r="G18" s="57"/>
    </row>
    <row r="19" ht="12" customHeight="1" spans="2:7">
      <c r="B19" s="60" t="s">
        <v>55</v>
      </c>
      <c r="C19" s="63" t="s">
        <v>56</v>
      </c>
      <c r="D19" s="58" t="str">
        <f t="shared" si="0"/>
        <v>STABILO INTERNATIONAL-1382604-S4_DEVELOPMENT_PROCONARUM - Pos 20</v>
      </c>
      <c r="E19" s="59" t="s">
        <v>22</v>
      </c>
      <c r="F19" s="59" t="s">
        <v>26</v>
      </c>
      <c r="G19" s="57"/>
    </row>
    <row r="20" ht="12" customHeight="1" spans="2:7">
      <c r="B20" s="60" t="s">
        <v>57</v>
      </c>
      <c r="C20" s="64" t="s">
        <v>58</v>
      </c>
      <c r="D20" s="58" t="str">
        <f t="shared" si="0"/>
        <v>kubus IT-Rahmenvertrag 
</v>
      </c>
      <c r="E20" s="59" t="s">
        <v>22</v>
      </c>
      <c r="F20" s="59" t="s">
        <v>49</v>
      </c>
      <c r="G20" s="57"/>
    </row>
    <row r="21" ht="12" customHeight="1" spans="2:7">
      <c r="B21" s="60" t="s">
        <v>43</v>
      </c>
      <c r="C21" s="65" t="s">
        <v>59</v>
      </c>
      <c r="D21" s="58" t="str">
        <f t="shared" si="0"/>
        <v>Wacker Chemie AG-1. 9106830021 - UB3 Automation Function
2. 4550881281_40_MDG_OFFSHORE_Betrieb und
Support</v>
      </c>
      <c r="E21" s="66" t="s">
        <v>22</v>
      </c>
      <c r="F21" s="59" t="s">
        <v>31</v>
      </c>
      <c r="G21" s="57"/>
    </row>
    <row r="22" ht="12" customHeight="1" spans="2:7">
      <c r="B22" s="60" t="s">
        <v>60</v>
      </c>
      <c r="C22" s="63" t="s">
        <v>61</v>
      </c>
      <c r="D22" s="58" t="str">
        <f t="shared" si="0"/>
        <v>Robert Bosch CI /BD-P77-0087017468 - Robert - Bosch BD - MDG/MDC Development (EDEN)</v>
      </c>
      <c r="E22" s="59" t="s">
        <v>22</v>
      </c>
      <c r="F22" s="59" t="s">
        <v>28</v>
      </c>
      <c r="G22" s="67"/>
    </row>
    <row r="23" ht="12" customHeight="1" spans="2:7">
      <c r="B23" s="60" t="s">
        <v>60</v>
      </c>
      <c r="C23" s="63" t="s">
        <v>62</v>
      </c>
      <c r="D23" s="58" t="str">
        <f t="shared" si="0"/>
        <v>Robert Bosch CI /BD-P77-0087017794 - 1 (#518) Bosch UI5 Onshore/Offshore</v>
      </c>
      <c r="E23" s="68" t="s">
        <v>22</v>
      </c>
      <c r="F23" s="59" t="s">
        <v>28</v>
      </c>
      <c r="G23" s="57"/>
    </row>
    <row r="24" ht="12" customHeight="1" spans="2:7">
      <c r="B24" s="60" t="s">
        <v>60</v>
      </c>
      <c r="C24" s="64" t="s">
        <v>63</v>
      </c>
      <c r="D24" s="58" t="str">
        <f t="shared" si="0"/>
        <v>Robert Bosch CI /BD-1. P77-0087018149-Pos 1-Robert Bosch CI-S4-DC-grownfield - offshore/onshore
2. Robert Bosch GmbH - P77-0087016468 Pos2 - S4
Grownfield Project Offshore</v>
      </c>
      <c r="E24" s="68" t="s">
        <v>22</v>
      </c>
      <c r="F24" s="59" t="s">
        <v>28</v>
      </c>
      <c r="G24" s="57"/>
    </row>
    <row r="25" ht="12" customHeight="1" spans="2:7">
      <c r="B25" s="60" t="s">
        <v>55</v>
      </c>
      <c r="C25" s="63" t="s">
        <v>64</v>
      </c>
      <c r="D25" s="58" t="str">
        <f t="shared" si="0"/>
        <v>STABILO INTERNATIONAL-1427634-10/20 - STABILO - AB MONITOR - offshore/onshore</v>
      </c>
      <c r="E25" s="68" t="s">
        <v>22</v>
      </c>
      <c r="F25" s="59" t="s">
        <v>26</v>
      </c>
      <c r="G25" s="57"/>
    </row>
    <row r="26" ht="12" customHeight="1" spans="2:7">
      <c r="B26" s="60" t="s">
        <v>65</v>
      </c>
      <c r="C26" s="69" t="s">
        <v>66</v>
      </c>
      <c r="D26" s="58" t="str">
        <f t="shared" si="0"/>
        <v>SYNTEGON-4550925350-Syntegon-MDG-Analyse</v>
      </c>
      <c r="E26" s="68" t="s">
        <v>22</v>
      </c>
      <c r="F26" s="59" t="s">
        <v>26</v>
      </c>
      <c r="G26" s="57"/>
    </row>
    <row r="27" ht="12" customHeight="1" spans="2:7">
      <c r="B27" s="57" t="s">
        <v>65</v>
      </c>
      <c r="C27" s="63" t="s">
        <v>67</v>
      </c>
      <c r="D27" s="58" t="str">
        <f t="shared" si="0"/>
        <v>SYNTEGON-4550913704-SYNTEGON-ALE-VERTEILUNG 2024</v>
      </c>
      <c r="E27" s="68" t="s">
        <v>22</v>
      </c>
      <c r="F27" s="59" t="s">
        <v>26</v>
      </c>
      <c r="G27" s="57"/>
    </row>
    <row r="28" ht="12" customHeight="1" spans="2:7">
      <c r="B28" s="57" t="s">
        <v>68</v>
      </c>
      <c r="C28" s="63" t="s">
        <v>69</v>
      </c>
      <c r="D28" s="58" t="str">
        <f t="shared" si="0"/>
        <v>HUK Coburg-C062497 - HUK - MM Themen</v>
      </c>
      <c r="E28" s="68" t="s">
        <v>22</v>
      </c>
      <c r="F28" s="59" t="s">
        <v>26</v>
      </c>
      <c r="G28" s="57"/>
    </row>
    <row r="29" ht="12" customHeight="1" spans="2:7">
      <c r="B29" s="57" t="s">
        <v>70</v>
      </c>
      <c r="C29" s="63" t="s">
        <v>71</v>
      </c>
      <c r="D29" s="58" t="str">
        <f t="shared" si="0"/>
        <v>UK Ulm-4550881281_40_MDG_OFFSHORE_Betrieb und</v>
      </c>
      <c r="E29" s="61" t="s">
        <v>22</v>
      </c>
      <c r="F29" s="59" t="s">
        <v>49</v>
      </c>
      <c r="G29" s="57"/>
    </row>
    <row r="30" ht="12" customHeight="1" spans="2:7">
      <c r="B30" s="57" t="s">
        <v>50</v>
      </c>
      <c r="C30" s="63" t="s">
        <v>72</v>
      </c>
      <c r="D30" s="58" t="str">
        <f t="shared" si="0"/>
        <v>Uni Klinikum Düsseldorf UKD-Support</v>
      </c>
      <c r="E30" s="61" t="s">
        <v>22</v>
      </c>
      <c r="F30" s="59" t="s">
        <v>49</v>
      </c>
      <c r="G30" s="57"/>
    </row>
    <row r="31" ht="12" customHeight="1" spans="2:7">
      <c r="B31" s="57" t="s">
        <v>57</v>
      </c>
      <c r="C31" s="65" t="s">
        <v>73</v>
      </c>
      <c r="D31" s="58" t="str">
        <f t="shared" si="0"/>
        <v>kubus IT-1. 72940 - kubus - VDB Enhancement
2. 37055 - EV/2019/087 - kubus Rahmen</v>
      </c>
      <c r="E31" s="59" t="s">
        <v>22</v>
      </c>
      <c r="F31" s="59" t="s">
        <v>26</v>
      </c>
      <c r="G31" s="57"/>
    </row>
    <row r="32" ht="12" customHeight="1" spans="2:7">
      <c r="B32" s="60" t="s">
        <v>74</v>
      </c>
      <c r="C32" s="70" t="s">
        <v>75</v>
      </c>
      <c r="D32" s="58" t="str">
        <f t="shared" si="0"/>
        <v>CONARUM-proconarum: DocSynAI</v>
      </c>
      <c r="E32" s="59" t="s">
        <v>22</v>
      </c>
      <c r="F32" s="59" t="s">
        <v>26</v>
      </c>
      <c r="G32" s="57"/>
    </row>
    <row r="33" ht="12" customHeight="1" spans="2:7">
      <c r="B33" s="60" t="s">
        <v>74</v>
      </c>
      <c r="C33" s="57" t="s">
        <v>17</v>
      </c>
      <c r="D33" s="71" t="s">
        <v>76</v>
      </c>
      <c r="E33" s="59" t="s">
        <v>22</v>
      </c>
      <c r="F33" s="59" t="s">
        <v>35</v>
      </c>
      <c r="G33" s="57"/>
    </row>
    <row r="34" ht="12" customHeight="1" spans="2:7">
      <c r="B34" s="60" t="s">
        <v>74</v>
      </c>
      <c r="C34" s="57" t="s">
        <v>17</v>
      </c>
      <c r="D34" s="72" t="s">
        <v>77</v>
      </c>
      <c r="E34" s="59" t="s">
        <v>22</v>
      </c>
      <c r="F34" s="59" t="s">
        <v>35</v>
      </c>
      <c r="G34" s="57"/>
    </row>
    <row r="35" ht="12" customHeight="1" spans="2:7">
      <c r="B35" s="60" t="s">
        <v>74</v>
      </c>
      <c r="C35" s="57" t="s">
        <v>17</v>
      </c>
      <c r="D35" s="72" t="s">
        <v>78</v>
      </c>
      <c r="E35" s="59" t="s">
        <v>22</v>
      </c>
      <c r="F35" s="59" t="s">
        <v>35</v>
      </c>
      <c r="G35" s="57"/>
    </row>
    <row r="36" ht="12" customHeight="1" spans="2:7">
      <c r="B36" s="60" t="s">
        <v>74</v>
      </c>
      <c r="C36" s="57" t="s">
        <v>17</v>
      </c>
      <c r="D36" s="72" t="s">
        <v>79</v>
      </c>
      <c r="E36" s="59" t="s">
        <v>22</v>
      </c>
      <c r="F36" s="59" t="s">
        <v>35</v>
      </c>
      <c r="G36" s="57"/>
    </row>
    <row r="37" ht="12" customHeight="1" spans="2:7">
      <c r="B37" s="60" t="s">
        <v>74</v>
      </c>
      <c r="C37" s="73" t="s">
        <v>80</v>
      </c>
      <c r="D37" s="58" t="str">
        <f t="shared" ref="D37:D45" si="1">B37&amp;"-"&amp;C37</f>
        <v>CONARUM-proconarum Generalize - Activity Management App</v>
      </c>
      <c r="E37" s="59" t="s">
        <v>22</v>
      </c>
      <c r="F37" s="59" t="s">
        <v>35</v>
      </c>
      <c r="G37" s="57"/>
    </row>
    <row r="38" ht="12" customHeight="1" spans="2:7">
      <c r="B38" s="60" t="s">
        <v>74</v>
      </c>
      <c r="C38" s="74" t="s">
        <v>81</v>
      </c>
      <c r="D38" s="58" t="s">
        <v>82</v>
      </c>
      <c r="E38" s="59" t="s">
        <v>22</v>
      </c>
      <c r="F38" s="59" t="s">
        <v>26</v>
      </c>
      <c r="G38" s="57"/>
    </row>
    <row r="39" ht="12" customHeight="1" spans="2:7">
      <c r="B39" s="60" t="s">
        <v>83</v>
      </c>
      <c r="C39" s="75" t="s">
        <v>84</v>
      </c>
      <c r="D39" s="58" t="str">
        <f t="shared" si="1"/>
        <v>BROSE-1. 4501645393-10/20: Supplier Inquiry - Beratung - Development Offshore
2. 4501630595-20-BroseAutomatisierung Master Data
(CN)
3. 4501568068 - proconarum - Sustainability</v>
      </c>
      <c r="E39" s="59" t="s">
        <v>22</v>
      </c>
      <c r="F39" s="59" t="s">
        <v>31</v>
      </c>
      <c r="G39" s="57"/>
    </row>
    <row r="40" ht="12" customHeight="1" spans="2:7">
      <c r="B40" s="60" t="s">
        <v>83</v>
      </c>
      <c r="C40" s="57"/>
      <c r="D40" s="58" t="str">
        <f t="shared" si="1"/>
        <v>BROSE-</v>
      </c>
      <c r="E40" s="59" t="s">
        <v>22</v>
      </c>
      <c r="F40" s="59"/>
      <c r="G40" s="57"/>
    </row>
    <row r="41" ht="12" customHeight="1" spans="2:7">
      <c r="B41" s="60" t="s">
        <v>36</v>
      </c>
      <c r="C41" s="57" t="s">
        <v>85</v>
      </c>
      <c r="D41" s="58" t="str">
        <f t="shared" si="1"/>
        <v>biotest-4530036462_Pos.1/2 - biotest - PaaS proconraum - DL ON/OFF</v>
      </c>
      <c r="E41" s="59" t="s">
        <v>22</v>
      </c>
      <c r="F41" s="59" t="s">
        <v>31</v>
      </c>
      <c r="G41" s="57"/>
    </row>
    <row r="42" ht="12" customHeight="1" spans="2:7">
      <c r="B42" s="60" t="s">
        <v>38</v>
      </c>
      <c r="C42" s="57"/>
      <c r="D42" s="58" t="str">
        <f t="shared" si="1"/>
        <v>manrolandgoss-</v>
      </c>
      <c r="E42" s="59" t="s">
        <v>22</v>
      </c>
      <c r="F42" s="59"/>
      <c r="G42" s="57"/>
    </row>
    <row r="43" ht="12" customHeight="1" spans="2:7">
      <c r="B43" s="60" t="s">
        <v>83</v>
      </c>
      <c r="C43" s="57" t="s">
        <v>86</v>
      </c>
      <c r="D43" s="58" t="str">
        <f t="shared" si="1"/>
        <v>BROSE-4501676644 - Sync. Ansprechpartner zu proconarum</v>
      </c>
      <c r="E43" s="59" t="s">
        <v>22</v>
      </c>
      <c r="F43" s="59" t="s">
        <v>26</v>
      </c>
      <c r="G43" s="57"/>
    </row>
    <row r="44" ht="12" customHeight="1" spans="2:7">
      <c r="B44" s="60" t="s">
        <v>55</v>
      </c>
      <c r="C44" s="72" t="s">
        <v>56</v>
      </c>
      <c r="D44" s="58" t="str">
        <f t="shared" si="1"/>
        <v>STABILO INTERNATIONAL-1382604-S4_DEVELOPMENT_PROCONARUM - Pos 20</v>
      </c>
      <c r="E44" s="59" t="s">
        <v>22</v>
      </c>
      <c r="F44" s="59" t="s">
        <v>26</v>
      </c>
      <c r="G44" s="57"/>
    </row>
    <row r="45" ht="12" customHeight="1" spans="2:7">
      <c r="B45" s="60" t="s">
        <v>55</v>
      </c>
      <c r="C45" s="60" t="s">
        <v>87</v>
      </c>
      <c r="D45" s="58" t="str">
        <f t="shared" si="1"/>
        <v>STABILO INTERNATIONAL-1427636 - STABILO - proconarum PO/POC</v>
      </c>
      <c r="E45" s="59" t="s">
        <v>22</v>
      </c>
      <c r="F45" s="59" t="s">
        <v>26</v>
      </c>
      <c r="G45" s="57"/>
    </row>
    <row r="46" ht="12" customHeight="1" spans="2:7">
      <c r="B46" s="76" t="s">
        <v>83</v>
      </c>
      <c r="C46" s="76" t="s">
        <v>88</v>
      </c>
      <c r="D46" s="76" t="s">
        <v>89</v>
      </c>
      <c r="E46" s="77" t="s">
        <v>22</v>
      </c>
      <c r="F46" s="59" t="s">
        <v>26</v>
      </c>
      <c r="G46" s="57"/>
    </row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showGridLines="0" tabSelected="1" zoomScale="65" zoomScaleNormal="65" topLeftCell="A27" workbookViewId="0">
      <selection activeCell="H28" sqref="H28"/>
    </sheetView>
  </sheetViews>
  <sheetFormatPr defaultColWidth="14.43" defaultRowHeight="13"/>
  <cols>
    <col min="1" max="1" width="2.57" customWidth="1"/>
    <col min="2" max="2" width="12.29" customWidth="1"/>
    <col min="3" max="3" width="14.43" customWidth="1"/>
    <col min="4" max="4" width="110" customWidth="1"/>
    <col min="5" max="5" width="6.57" customWidth="1"/>
    <col min="6" max="6" width="8" customWidth="1"/>
    <col min="7" max="7" width="48.57" customWidth="1"/>
    <col min="8" max="8" width="29.71" customWidth="1"/>
    <col min="9" max="26" width="11.57" customWidth="1"/>
  </cols>
  <sheetData>
    <row r="1" ht="25.75" spans="2:11">
      <c r="B1" s="1" t="s">
        <v>90</v>
      </c>
      <c r="C1" s="2"/>
      <c r="D1" s="2"/>
      <c r="E1" s="2"/>
      <c r="F1" s="2"/>
      <c r="G1" s="2"/>
      <c r="H1" s="2"/>
      <c r="J1" s="48" t="s">
        <v>91</v>
      </c>
      <c r="K1" s="49" t="s">
        <v>92</v>
      </c>
    </row>
    <row r="2" ht="15.5" spans="1:26">
      <c r="A2" s="3"/>
      <c r="B2" s="4" t="s">
        <v>93</v>
      </c>
      <c r="C2" s="5"/>
      <c r="D2" s="5" t="s">
        <v>94</v>
      </c>
      <c r="E2" s="5"/>
      <c r="F2" s="5"/>
      <c r="G2" s="5"/>
      <c r="H2" s="6"/>
      <c r="I2" s="3"/>
      <c r="J2" s="48" t="s">
        <v>95</v>
      </c>
      <c r="K2" s="49">
        <v>22.5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25" spans="1:26">
      <c r="A3" s="3"/>
      <c r="B3" s="7"/>
      <c r="C3" s="8"/>
      <c r="D3" s="8"/>
      <c r="E3" s="9"/>
      <c r="F3" s="9"/>
      <c r="G3" s="9"/>
      <c r="H3" s="10"/>
      <c r="I3" s="3"/>
      <c r="J3" s="50" t="s">
        <v>88</v>
      </c>
      <c r="K3" s="51">
        <v>155.5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11">
      <c r="B4" s="11" t="s">
        <v>96</v>
      </c>
      <c r="C4" s="11"/>
      <c r="D4" s="11"/>
      <c r="J4" s="52" t="s">
        <v>97</v>
      </c>
      <c r="K4" s="53">
        <v>178</v>
      </c>
    </row>
    <row r="5" spans="2:7">
      <c r="B5" s="12" t="s">
        <v>19</v>
      </c>
      <c r="C5" s="12"/>
      <c r="D5" s="13" t="s">
        <v>98</v>
      </c>
      <c r="F5" s="14"/>
      <c r="G5" s="2"/>
    </row>
    <row r="6" spans="2:7">
      <c r="B6" s="12" t="s">
        <v>99</v>
      </c>
      <c r="C6" s="12"/>
      <c r="D6" s="13" t="s">
        <v>100</v>
      </c>
      <c r="F6" s="14"/>
      <c r="G6" s="2"/>
    </row>
    <row r="7" spans="4:7">
      <c r="D7" s="15"/>
      <c r="E7" s="15"/>
      <c r="F7" s="14"/>
      <c r="G7" s="2"/>
    </row>
    <row r="8" spans="2:8">
      <c r="B8" s="16" t="s">
        <v>101</v>
      </c>
      <c r="C8" s="16"/>
      <c r="D8" s="17" t="s">
        <v>102</v>
      </c>
      <c r="E8" s="18"/>
      <c r="F8" s="19"/>
      <c r="G8" s="20"/>
      <c r="H8" s="18"/>
    </row>
    <row r="9" spans="2:8">
      <c r="B9" s="16" t="s">
        <v>103</v>
      </c>
      <c r="C9" s="16"/>
      <c r="D9" s="21" t="s">
        <v>104</v>
      </c>
      <c r="E9" s="21"/>
      <c r="F9" s="16"/>
      <c r="G9" s="18"/>
      <c r="H9" s="18"/>
    </row>
    <row r="10" spans="2:8">
      <c r="B10" s="16" t="s">
        <v>105</v>
      </c>
      <c r="C10" s="16"/>
      <c r="D10" s="22" t="s">
        <v>106</v>
      </c>
      <c r="E10" s="23"/>
      <c r="F10" s="24"/>
      <c r="G10" s="18"/>
      <c r="H10" s="18"/>
    </row>
    <row r="11" spans="2:8">
      <c r="B11" s="16" t="s">
        <v>107</v>
      </c>
      <c r="C11" s="16"/>
      <c r="D11" s="18"/>
      <c r="E11" s="18"/>
      <c r="F11" s="24"/>
      <c r="G11" s="24"/>
      <c r="H11" s="24"/>
    </row>
    <row r="12" spans="2:8">
      <c r="B12" s="18"/>
      <c r="C12" s="18"/>
      <c r="D12" s="18"/>
      <c r="E12" s="17" t="s">
        <v>108</v>
      </c>
      <c r="F12" s="24"/>
      <c r="G12" s="24"/>
      <c r="H12" s="18"/>
    </row>
    <row r="13" spans="2:8">
      <c r="B13" s="25" t="s">
        <v>109</v>
      </c>
      <c r="C13" s="25" t="s">
        <v>11</v>
      </c>
      <c r="D13" s="25" t="s">
        <v>110</v>
      </c>
      <c r="E13" s="25" t="s">
        <v>111</v>
      </c>
      <c r="F13" s="25" t="s">
        <v>112</v>
      </c>
      <c r="G13" s="25" t="s">
        <v>91</v>
      </c>
      <c r="H13" s="26" t="s">
        <v>113</v>
      </c>
    </row>
    <row r="14" ht="14.5" spans="2:8">
      <c r="B14" s="27">
        <v>46021</v>
      </c>
      <c r="C14" s="28" t="s">
        <v>13</v>
      </c>
      <c r="D14" s="29" t="s">
        <v>114</v>
      </c>
      <c r="E14" s="30"/>
      <c r="F14" s="31">
        <v>0.5</v>
      </c>
      <c r="G14" s="32" t="s">
        <v>88</v>
      </c>
      <c r="H14" s="33"/>
    </row>
    <row r="15" ht="14.5" spans="2:8">
      <c r="B15" s="27">
        <v>46021</v>
      </c>
      <c r="C15" s="28" t="s">
        <v>13</v>
      </c>
      <c r="D15" s="29" t="s">
        <v>115</v>
      </c>
      <c r="E15" s="30"/>
      <c r="F15" s="31">
        <v>7.5</v>
      </c>
      <c r="G15" s="32" t="s">
        <v>88</v>
      </c>
      <c r="H15" s="33"/>
    </row>
    <row r="16" ht="14.5" spans="2:8">
      <c r="B16" s="27">
        <v>45658</v>
      </c>
      <c r="C16" s="28" t="s">
        <v>13</v>
      </c>
      <c r="D16" s="29" t="s">
        <v>114</v>
      </c>
      <c r="E16" s="30"/>
      <c r="F16" s="31">
        <v>0.5</v>
      </c>
      <c r="G16" s="32" t="s">
        <v>88</v>
      </c>
      <c r="H16" s="33"/>
    </row>
    <row r="17" ht="14.5" spans="2:8">
      <c r="B17" s="27">
        <v>45658</v>
      </c>
      <c r="C17" s="28" t="s">
        <v>13</v>
      </c>
      <c r="D17" s="29" t="s">
        <v>116</v>
      </c>
      <c r="E17" s="30"/>
      <c r="F17" s="31">
        <v>7.5</v>
      </c>
      <c r="G17" s="32" t="s">
        <v>88</v>
      </c>
      <c r="H17" s="33"/>
    </row>
    <row r="18" ht="14.5" spans="2:8">
      <c r="B18" s="27">
        <v>45659</v>
      </c>
      <c r="C18" s="28" t="s">
        <v>13</v>
      </c>
      <c r="D18" s="29" t="s">
        <v>117</v>
      </c>
      <c r="E18" s="34"/>
      <c r="F18" s="31">
        <v>8</v>
      </c>
      <c r="G18" s="32" t="s">
        <v>88</v>
      </c>
      <c r="H18" s="33"/>
    </row>
    <row r="19" ht="14.5" spans="2:8">
      <c r="B19" s="27">
        <v>45660</v>
      </c>
      <c r="C19" s="28" t="s">
        <v>13</v>
      </c>
      <c r="D19" s="29" t="s">
        <v>114</v>
      </c>
      <c r="E19" s="34"/>
      <c r="F19" s="31">
        <v>0.5</v>
      </c>
      <c r="G19" s="32" t="s">
        <v>88</v>
      </c>
      <c r="H19" s="33"/>
    </row>
    <row r="20" ht="14.5" spans="2:8">
      <c r="B20" s="27">
        <v>45660</v>
      </c>
      <c r="C20" s="28" t="s">
        <v>13</v>
      </c>
      <c r="D20" s="29" t="s">
        <v>118</v>
      </c>
      <c r="E20" s="34"/>
      <c r="F20" s="31">
        <v>7.5</v>
      </c>
      <c r="G20" s="32" t="s">
        <v>88</v>
      </c>
      <c r="H20" s="33"/>
    </row>
    <row r="21" ht="14.5" spans="2:8">
      <c r="B21" s="27">
        <v>45661</v>
      </c>
      <c r="C21" s="28" t="s">
        <v>13</v>
      </c>
      <c r="D21" s="29" t="s">
        <v>119</v>
      </c>
      <c r="E21" s="35"/>
      <c r="F21" s="31">
        <v>8</v>
      </c>
      <c r="G21" s="32" t="s">
        <v>88</v>
      </c>
      <c r="H21" s="33"/>
    </row>
    <row r="22" ht="14.5" spans="2:8">
      <c r="B22" s="27">
        <v>45662</v>
      </c>
      <c r="C22" s="28" t="s">
        <v>13</v>
      </c>
      <c r="D22" s="29" t="s">
        <v>120</v>
      </c>
      <c r="E22" s="35"/>
      <c r="F22" s="31">
        <v>0.5</v>
      </c>
      <c r="G22" s="32" t="s">
        <v>88</v>
      </c>
      <c r="H22" s="33"/>
    </row>
    <row r="23" ht="14.5" spans="2:8">
      <c r="B23" s="27">
        <v>45662</v>
      </c>
      <c r="C23" s="28" t="s">
        <v>13</v>
      </c>
      <c r="D23" s="29" t="s">
        <v>121</v>
      </c>
      <c r="E23" s="35"/>
      <c r="F23" s="31">
        <v>7.5</v>
      </c>
      <c r="G23" s="32" t="s">
        <v>88</v>
      </c>
      <c r="H23" s="33"/>
    </row>
    <row r="24" ht="14.5" spans="2:8">
      <c r="B24" s="27">
        <v>45663</v>
      </c>
      <c r="C24" s="28" t="s">
        <v>13</v>
      </c>
      <c r="D24" s="29" t="s">
        <v>114</v>
      </c>
      <c r="E24" s="35"/>
      <c r="F24" s="31">
        <v>0.5</v>
      </c>
      <c r="G24" s="32" t="s">
        <v>88</v>
      </c>
      <c r="H24" s="33"/>
    </row>
    <row r="25" ht="14.5" spans="2:8">
      <c r="B25" s="27">
        <v>45663</v>
      </c>
      <c r="C25" s="28" t="s">
        <v>13</v>
      </c>
      <c r="D25" s="29" t="s">
        <v>122</v>
      </c>
      <c r="E25" s="35"/>
      <c r="F25" s="31">
        <v>7.5</v>
      </c>
      <c r="G25" s="32" t="s">
        <v>88</v>
      </c>
      <c r="H25" s="33"/>
    </row>
    <row r="26" ht="14.5" spans="2:8">
      <c r="B26" s="27">
        <v>45665</v>
      </c>
      <c r="C26" s="28" t="s">
        <v>17</v>
      </c>
      <c r="D26" s="29" t="s">
        <v>123</v>
      </c>
      <c r="E26" s="35"/>
      <c r="F26" s="31">
        <v>1</v>
      </c>
      <c r="G26" s="32"/>
      <c r="H26" s="33"/>
    </row>
    <row r="27" ht="14.5" spans="2:8">
      <c r="B27" s="27">
        <v>45665</v>
      </c>
      <c r="C27" s="28" t="s">
        <v>13</v>
      </c>
      <c r="D27" s="29" t="s">
        <v>114</v>
      </c>
      <c r="E27" s="35"/>
      <c r="F27" s="31">
        <v>0.5</v>
      </c>
      <c r="G27" s="32" t="s">
        <v>88</v>
      </c>
      <c r="H27" s="33"/>
    </row>
    <row r="28" ht="14.5" spans="2:8">
      <c r="B28" s="27">
        <v>45665</v>
      </c>
      <c r="C28" s="28" t="s">
        <v>17</v>
      </c>
      <c r="D28" s="29" t="s">
        <v>124</v>
      </c>
      <c r="E28" s="35"/>
      <c r="F28" s="31">
        <v>3</v>
      </c>
      <c r="G28" s="32"/>
      <c r="H28" s="33"/>
    </row>
    <row r="29" ht="14.5" spans="2:8">
      <c r="B29" s="27">
        <v>45665</v>
      </c>
      <c r="C29" s="28" t="s">
        <v>13</v>
      </c>
      <c r="D29" s="29" t="s">
        <v>125</v>
      </c>
      <c r="E29" s="35"/>
      <c r="F29" s="31">
        <v>6.5</v>
      </c>
      <c r="G29" s="32" t="s">
        <v>88</v>
      </c>
      <c r="H29" s="33"/>
    </row>
    <row r="30" ht="14.5" spans="2:8">
      <c r="B30" s="27">
        <v>45666</v>
      </c>
      <c r="C30" s="28" t="s">
        <v>13</v>
      </c>
      <c r="D30" s="29" t="s">
        <v>126</v>
      </c>
      <c r="E30" s="35"/>
      <c r="F30" s="31">
        <v>2</v>
      </c>
      <c r="G30" s="32" t="s">
        <v>88</v>
      </c>
      <c r="H30" s="33"/>
    </row>
    <row r="31" ht="14.5" spans="2:8">
      <c r="B31" s="27">
        <v>45666</v>
      </c>
      <c r="C31" s="28" t="s">
        <v>13</v>
      </c>
      <c r="D31" s="29" t="s">
        <v>127</v>
      </c>
      <c r="E31" s="35"/>
      <c r="F31" s="31">
        <v>2</v>
      </c>
      <c r="G31" s="32" t="s">
        <v>88</v>
      </c>
      <c r="H31" s="33"/>
    </row>
    <row r="32" ht="14.5" spans="2:8">
      <c r="B32" s="27">
        <v>45666</v>
      </c>
      <c r="C32" s="28" t="s">
        <v>13</v>
      </c>
      <c r="D32" s="29" t="s">
        <v>128</v>
      </c>
      <c r="E32" s="35"/>
      <c r="F32" s="31">
        <v>4</v>
      </c>
      <c r="G32" s="32" t="s">
        <v>88</v>
      </c>
      <c r="H32" s="33"/>
    </row>
    <row r="33" ht="14.5" spans="2:8">
      <c r="B33" s="27">
        <v>45669</v>
      </c>
      <c r="C33" s="28" t="s">
        <v>13</v>
      </c>
      <c r="D33" s="29" t="s">
        <v>129</v>
      </c>
      <c r="E33" s="35"/>
      <c r="F33" s="31">
        <v>8</v>
      </c>
      <c r="G33" s="32" t="s">
        <v>88</v>
      </c>
      <c r="H33" s="33"/>
    </row>
    <row r="34" ht="14.5" spans="2:8">
      <c r="B34" s="27">
        <v>45669</v>
      </c>
      <c r="C34" s="28" t="s">
        <v>17</v>
      </c>
      <c r="D34" s="29" t="s">
        <v>124</v>
      </c>
      <c r="E34" s="35"/>
      <c r="F34" s="31">
        <v>3</v>
      </c>
      <c r="G34" s="32"/>
      <c r="H34" s="33"/>
    </row>
    <row r="35" ht="14.5" spans="2:8">
      <c r="B35" s="27">
        <v>45670</v>
      </c>
      <c r="C35" s="28" t="s">
        <v>13</v>
      </c>
      <c r="D35" s="29" t="s">
        <v>130</v>
      </c>
      <c r="E35" s="35"/>
      <c r="F35" s="31">
        <v>4</v>
      </c>
      <c r="G35" s="32" t="s">
        <v>88</v>
      </c>
      <c r="H35" s="33"/>
    </row>
    <row r="36" ht="14.5" spans="2:8">
      <c r="B36" s="27">
        <v>45670</v>
      </c>
      <c r="C36" s="28" t="s">
        <v>13</v>
      </c>
      <c r="D36" s="29" t="s">
        <v>131</v>
      </c>
      <c r="E36" s="35"/>
      <c r="F36" s="31">
        <v>2</v>
      </c>
      <c r="G36" s="32" t="s">
        <v>88</v>
      </c>
      <c r="H36" s="33"/>
    </row>
    <row r="37" ht="14.5" spans="2:8">
      <c r="B37" s="27">
        <v>45670</v>
      </c>
      <c r="C37" s="28" t="s">
        <v>13</v>
      </c>
      <c r="D37" s="29" t="s">
        <v>132</v>
      </c>
      <c r="E37" s="35"/>
      <c r="F37" s="31">
        <v>2</v>
      </c>
      <c r="G37" s="32" t="s">
        <v>88</v>
      </c>
      <c r="H37" s="33"/>
    </row>
    <row r="38" ht="14.5" spans="2:8">
      <c r="B38" s="27">
        <v>45671</v>
      </c>
      <c r="C38" s="28" t="s">
        <v>13</v>
      </c>
      <c r="D38" s="29" t="s">
        <v>133</v>
      </c>
      <c r="E38" s="35"/>
      <c r="F38" s="31">
        <v>8</v>
      </c>
      <c r="G38" s="32" t="s">
        <v>88</v>
      </c>
      <c r="H38" s="33"/>
    </row>
    <row r="39" ht="14.5" spans="2:8">
      <c r="B39" s="27">
        <v>45672</v>
      </c>
      <c r="C39" s="28" t="s">
        <v>13</v>
      </c>
      <c r="D39" s="29" t="s">
        <v>134</v>
      </c>
      <c r="E39" s="35"/>
      <c r="F39" s="31">
        <v>7</v>
      </c>
      <c r="G39" s="32" t="s">
        <v>88</v>
      </c>
      <c r="H39" s="33"/>
    </row>
    <row r="40" ht="14.5" spans="2:8">
      <c r="B40" s="27">
        <v>45672</v>
      </c>
      <c r="C40" s="28" t="s">
        <v>13</v>
      </c>
      <c r="D40" s="29" t="s">
        <v>135</v>
      </c>
      <c r="E40" s="35"/>
      <c r="F40" s="31">
        <v>1</v>
      </c>
      <c r="G40" s="32" t="s">
        <v>88</v>
      </c>
      <c r="H40" s="33"/>
    </row>
    <row r="41" ht="14.5" spans="2:8">
      <c r="B41" s="27">
        <v>45673</v>
      </c>
      <c r="C41" s="28" t="s">
        <v>17</v>
      </c>
      <c r="D41" s="29" t="s">
        <v>136</v>
      </c>
      <c r="E41" s="35"/>
      <c r="F41" s="31">
        <v>1</v>
      </c>
      <c r="G41" s="32"/>
      <c r="H41" s="33"/>
    </row>
    <row r="42" ht="14.5" spans="2:8">
      <c r="B42" s="27">
        <v>45673</v>
      </c>
      <c r="C42" s="28" t="s">
        <v>13</v>
      </c>
      <c r="D42" s="29" t="s">
        <v>137</v>
      </c>
      <c r="E42" s="35"/>
      <c r="F42" s="31">
        <v>1</v>
      </c>
      <c r="G42" s="32" t="s">
        <v>88</v>
      </c>
      <c r="H42" s="33"/>
    </row>
    <row r="43" ht="14.5" spans="2:8">
      <c r="B43" s="27">
        <v>45673</v>
      </c>
      <c r="C43" s="28" t="s">
        <v>13</v>
      </c>
      <c r="D43" s="29" t="s">
        <v>138</v>
      </c>
      <c r="E43" s="35"/>
      <c r="F43" s="31">
        <v>6</v>
      </c>
      <c r="G43" s="32" t="s">
        <v>88</v>
      </c>
      <c r="H43" s="33"/>
    </row>
    <row r="44" ht="14.5" spans="2:8">
      <c r="B44" s="27">
        <v>45675</v>
      </c>
      <c r="C44" s="28" t="s">
        <v>17</v>
      </c>
      <c r="D44" s="29" t="s">
        <v>139</v>
      </c>
      <c r="E44" s="35"/>
      <c r="F44" s="31">
        <v>4</v>
      </c>
      <c r="G44" s="32"/>
      <c r="H44" s="33"/>
    </row>
    <row r="45" ht="14.5" spans="2:8">
      <c r="B45" s="27">
        <v>45676</v>
      </c>
      <c r="C45" s="28" t="s">
        <v>17</v>
      </c>
      <c r="D45" s="29" t="s">
        <v>124</v>
      </c>
      <c r="E45" s="35"/>
      <c r="F45" s="31">
        <v>3</v>
      </c>
      <c r="G45" s="32"/>
      <c r="H45" s="33"/>
    </row>
    <row r="46" ht="14.5" spans="2:8">
      <c r="B46" s="27">
        <v>45676</v>
      </c>
      <c r="C46" s="28" t="s">
        <v>13</v>
      </c>
      <c r="D46" s="29" t="s">
        <v>140</v>
      </c>
      <c r="E46" s="35"/>
      <c r="F46" s="31">
        <v>8</v>
      </c>
      <c r="G46" s="32" t="s">
        <v>88</v>
      </c>
      <c r="H46" s="33"/>
    </row>
    <row r="47" ht="14.5" spans="2:8">
      <c r="B47" s="27">
        <v>45677</v>
      </c>
      <c r="C47" s="28" t="s">
        <v>13</v>
      </c>
      <c r="D47" s="29" t="s">
        <v>135</v>
      </c>
      <c r="E47" s="35"/>
      <c r="F47" s="31">
        <v>1</v>
      </c>
      <c r="G47" s="32" t="s">
        <v>88</v>
      </c>
      <c r="H47" s="33"/>
    </row>
    <row r="48" ht="14.5" spans="2:8">
      <c r="B48" s="27">
        <v>45677</v>
      </c>
      <c r="C48" s="28" t="s">
        <v>13</v>
      </c>
      <c r="D48" s="29" t="s">
        <v>141</v>
      </c>
      <c r="E48" s="35"/>
      <c r="F48" s="31">
        <v>7</v>
      </c>
      <c r="G48" s="32" t="s">
        <v>88</v>
      </c>
      <c r="H48" s="33"/>
    </row>
    <row r="49" ht="14.5" spans="2:8">
      <c r="B49" s="27">
        <v>45678</v>
      </c>
      <c r="C49" s="28" t="s">
        <v>13</v>
      </c>
      <c r="D49" s="29" t="s">
        <v>142</v>
      </c>
      <c r="E49" s="35"/>
      <c r="F49" s="31">
        <v>8</v>
      </c>
      <c r="G49" s="32" t="s">
        <v>88</v>
      </c>
      <c r="H49" s="33"/>
    </row>
    <row r="50" ht="14.5" spans="2:8">
      <c r="B50" s="27">
        <v>45679</v>
      </c>
      <c r="C50" s="28" t="s">
        <v>13</v>
      </c>
      <c r="D50" s="29" t="s">
        <v>135</v>
      </c>
      <c r="E50" s="35"/>
      <c r="F50" s="31">
        <v>1</v>
      </c>
      <c r="G50" s="32" t="s">
        <v>88</v>
      </c>
      <c r="H50" s="33"/>
    </row>
    <row r="51" ht="14.5" spans="2:8">
      <c r="B51" s="27">
        <v>45679</v>
      </c>
      <c r="C51" s="28" t="s">
        <v>13</v>
      </c>
      <c r="D51" s="29" t="s">
        <v>143</v>
      </c>
      <c r="E51" s="35"/>
      <c r="F51" s="31">
        <v>7</v>
      </c>
      <c r="G51" s="32" t="s">
        <v>88</v>
      </c>
      <c r="H51" s="33"/>
    </row>
    <row r="52" ht="14.5" spans="2:8">
      <c r="B52" s="27">
        <v>45679</v>
      </c>
      <c r="C52" s="28" t="s">
        <v>17</v>
      </c>
      <c r="D52" s="29" t="s">
        <v>124</v>
      </c>
      <c r="E52" s="35"/>
      <c r="F52" s="31">
        <v>3</v>
      </c>
      <c r="G52" s="32"/>
      <c r="H52" s="33"/>
    </row>
    <row r="53" ht="14.5" spans="2:8">
      <c r="B53" s="27">
        <v>45680</v>
      </c>
      <c r="C53" s="28" t="s">
        <v>17</v>
      </c>
      <c r="D53" s="29" t="s">
        <v>144</v>
      </c>
      <c r="E53" s="35"/>
      <c r="F53" s="31">
        <v>2</v>
      </c>
      <c r="G53" s="32"/>
      <c r="H53" s="33"/>
    </row>
    <row r="54" ht="14.5" spans="2:8">
      <c r="B54" s="27">
        <v>45683</v>
      </c>
      <c r="C54" s="28" t="s">
        <v>13</v>
      </c>
      <c r="D54" s="29" t="s">
        <v>145</v>
      </c>
      <c r="E54" s="35"/>
      <c r="F54" s="31">
        <v>8</v>
      </c>
      <c r="G54" s="32" t="s">
        <v>88</v>
      </c>
      <c r="H54" s="33"/>
    </row>
    <row r="55" ht="14.5" spans="2:8">
      <c r="B55" s="27">
        <v>45684</v>
      </c>
      <c r="C55" s="28" t="s">
        <v>17</v>
      </c>
      <c r="D55" s="29" t="s">
        <v>146</v>
      </c>
      <c r="E55" s="35"/>
      <c r="F55" s="31">
        <v>1.5</v>
      </c>
      <c r="G55" s="32"/>
      <c r="H55" s="33"/>
    </row>
    <row r="56" ht="14.5" spans="2:8">
      <c r="B56" s="27">
        <v>45684</v>
      </c>
      <c r="C56" s="28" t="s">
        <v>13</v>
      </c>
      <c r="D56" s="29" t="s">
        <v>147</v>
      </c>
      <c r="E56" s="35"/>
      <c r="F56" s="31">
        <v>0.5</v>
      </c>
      <c r="G56" s="32" t="s">
        <v>88</v>
      </c>
      <c r="H56" s="33"/>
    </row>
    <row r="57" ht="14.5" spans="2:8">
      <c r="B57" s="27">
        <v>45684</v>
      </c>
      <c r="C57" s="28" t="s">
        <v>13</v>
      </c>
      <c r="D57" s="29" t="s">
        <v>114</v>
      </c>
      <c r="E57" s="35"/>
      <c r="F57" s="31">
        <v>0.5</v>
      </c>
      <c r="G57" s="32" t="s">
        <v>88</v>
      </c>
      <c r="H57" s="33"/>
    </row>
    <row r="58" ht="14.5" spans="2:8">
      <c r="B58" s="27">
        <v>45684</v>
      </c>
      <c r="C58" s="28" t="s">
        <v>13</v>
      </c>
      <c r="D58" s="29" t="s">
        <v>148</v>
      </c>
      <c r="E58" s="35"/>
      <c r="F58" s="31">
        <v>4.5</v>
      </c>
      <c r="G58" s="32" t="s">
        <v>88</v>
      </c>
      <c r="H58" s="33"/>
    </row>
    <row r="59" ht="14.5" spans="2:8">
      <c r="B59" s="27">
        <v>45684</v>
      </c>
      <c r="C59" s="28" t="s">
        <v>17</v>
      </c>
      <c r="D59" s="29" t="s">
        <v>146</v>
      </c>
      <c r="E59" s="35"/>
      <c r="F59" s="31">
        <v>1</v>
      </c>
      <c r="G59" s="32"/>
      <c r="H59" s="33"/>
    </row>
    <row r="60" spans="2:8">
      <c r="B60" s="36" t="s">
        <v>149</v>
      </c>
      <c r="C60" s="37"/>
      <c r="D60" s="38"/>
      <c r="E60" s="39"/>
      <c r="F60" s="40">
        <f>SUM(F14:F59)</f>
        <v>178</v>
      </c>
      <c r="G60" s="39"/>
      <c r="H60" s="39"/>
    </row>
    <row r="61" spans="2:8">
      <c r="B61" s="16"/>
      <c r="C61" s="16"/>
      <c r="D61" s="16"/>
      <c r="E61" s="16"/>
      <c r="F61" s="41">
        <f>F60/8</f>
        <v>22.25</v>
      </c>
      <c r="G61" s="16" t="s">
        <v>150</v>
      </c>
      <c r="H61" s="16"/>
    </row>
    <row r="62" spans="2:8">
      <c r="B62" s="12"/>
      <c r="D62" s="12"/>
      <c r="E62" s="12"/>
      <c r="F62" s="42"/>
      <c r="G62" s="12"/>
      <c r="H62" s="12"/>
    </row>
    <row r="63" ht="13.75" spans="5:6">
      <c r="E63" s="43"/>
      <c r="F63" s="43"/>
    </row>
    <row r="64" spans="2:8">
      <c r="B64" s="44" t="s">
        <v>151</v>
      </c>
      <c r="C64" s="44"/>
      <c r="D64" s="44"/>
      <c r="E64" s="45"/>
      <c r="G64" s="46" t="s">
        <v>152</v>
      </c>
      <c r="H64" s="47"/>
    </row>
    <row r="66" spans="2:2">
      <c r="B66" s="13" t="s">
        <v>153</v>
      </c>
    </row>
  </sheetData>
  <mergeCells count="8">
    <mergeCell ref="B1:H1"/>
    <mergeCell ref="B3:D3"/>
    <mergeCell ref="F5:G5"/>
    <mergeCell ref="F6:G6"/>
    <mergeCell ref="F7:G7"/>
    <mergeCell ref="F8:G8"/>
    <mergeCell ref="B60:D60"/>
    <mergeCell ref="G64:H64"/>
  </mergeCells>
  <conditionalFormatting sqref="C15">
    <cfRule type="containsText" dxfId="6" priority="19" operator="between" text="Papierkram">
      <formula>NOT(ISERROR(SEARCH("Papierkram",C15)))</formula>
    </cfRule>
  </conditionalFormatting>
  <conditionalFormatting sqref="C19">
    <cfRule type="containsText" dxfId="6" priority="18" operator="between" text="Papierkram">
      <formula>NOT(ISERROR(SEARCH("Papierkram",C19)))</formula>
    </cfRule>
  </conditionalFormatting>
  <conditionalFormatting sqref="C23">
    <cfRule type="containsText" dxfId="6" priority="17" operator="between" text="Papierkram">
      <formula>NOT(ISERROR(SEARCH("Papierkram",C23)))</formula>
    </cfRule>
  </conditionalFormatting>
  <conditionalFormatting sqref="C25">
    <cfRule type="containsText" dxfId="6" priority="16" operator="between" text="Papierkram">
      <formula>NOT(ISERROR(SEARCH("Papierkram",C25)))</formula>
    </cfRule>
  </conditionalFormatting>
  <conditionalFormatting sqref="C29">
    <cfRule type="containsText" dxfId="6" priority="15" operator="between" text="Papierkram">
      <formula>NOT(ISERROR(SEARCH("Papierkram",C29)))</formula>
    </cfRule>
  </conditionalFormatting>
  <conditionalFormatting sqref="C31">
    <cfRule type="containsText" dxfId="6" priority="14" operator="between" text="Papierkram">
      <formula>NOT(ISERROR(SEARCH("Papierkram",C31)))</formula>
    </cfRule>
  </conditionalFormatting>
  <conditionalFormatting sqref="C32">
    <cfRule type="containsText" dxfId="6" priority="13" operator="between" text="Papierkram">
      <formula>NOT(ISERROR(SEARCH("Papierkram",C32)))</formula>
    </cfRule>
  </conditionalFormatting>
  <conditionalFormatting sqref="C33">
    <cfRule type="containsText" dxfId="6" priority="9" operator="between" text="Papierkram">
      <formula>NOT(ISERROR(SEARCH("Papierkram",C33)))</formula>
    </cfRule>
  </conditionalFormatting>
  <conditionalFormatting sqref="C36">
    <cfRule type="containsText" dxfId="6" priority="28" operator="between" text="Papierkram">
      <formula>NOT(ISERROR(SEARCH("Papierkram",C36)))</formula>
    </cfRule>
  </conditionalFormatting>
  <conditionalFormatting sqref="C37">
    <cfRule type="containsText" dxfId="6" priority="12" operator="between" text="Papierkram">
      <formula>NOT(ISERROR(SEARCH("Papierkram",C37)))</formula>
    </cfRule>
  </conditionalFormatting>
  <conditionalFormatting sqref="C40">
    <cfRule type="containsText" dxfId="6" priority="27" operator="between" text="Papierkram">
      <formula>NOT(ISERROR(SEARCH("Papierkram",C40)))</formula>
    </cfRule>
  </conditionalFormatting>
  <conditionalFormatting sqref="C42">
    <cfRule type="containsText" dxfId="6" priority="26" operator="between" text="Papierkram">
      <formula>NOT(ISERROR(SEARCH("Papierkram",C42)))</formula>
    </cfRule>
  </conditionalFormatting>
  <conditionalFormatting sqref="C43">
    <cfRule type="containsText" dxfId="6" priority="7" operator="between" text="Papierkram">
      <formula>NOT(ISERROR(SEARCH("Papierkram",C43)))</formula>
    </cfRule>
  </conditionalFormatting>
  <conditionalFormatting sqref="C44">
    <cfRule type="containsText" dxfId="6" priority="3" operator="between" text="Papierkram">
      <formula>NOT(ISERROR(SEARCH("Papierkram",C44)))</formula>
    </cfRule>
  </conditionalFormatting>
  <conditionalFormatting sqref="C46">
    <cfRule type="containsText" dxfId="6" priority="6" operator="between" text="Papierkram">
      <formula>NOT(ISERROR(SEARCH("Papierkram",C46)))</formula>
    </cfRule>
  </conditionalFormatting>
  <conditionalFormatting sqref="C48">
    <cfRule type="containsText" dxfId="6" priority="2" operator="between" text="Papierkram">
      <formula>NOT(ISERROR(SEARCH("Papierkram",C48)))</formula>
    </cfRule>
  </conditionalFormatting>
  <conditionalFormatting sqref="C49">
    <cfRule type="containsText" dxfId="6" priority="5" operator="between" text="Papierkram">
      <formula>NOT(ISERROR(SEARCH("Papierkram",C49)))</formula>
    </cfRule>
  </conditionalFormatting>
  <conditionalFormatting sqref="C51">
    <cfRule type="containsText" dxfId="6" priority="1" operator="between" text="Papierkram">
      <formula>NOT(ISERROR(SEARCH("Papierkram",C51)))</formula>
    </cfRule>
  </conditionalFormatting>
  <conditionalFormatting sqref="C52">
    <cfRule type="containsText" dxfId="6" priority="20" operator="between" text="Papierkram">
      <formula>NOT(ISERROR(SEARCH("Papierkram",C52)))</formula>
    </cfRule>
  </conditionalFormatting>
  <conditionalFormatting sqref="C55">
    <cfRule type="containsText" dxfId="6" priority="21" operator="between" text="Papierkram">
      <formula>NOT(ISERROR(SEARCH("Papierkram",C55)))</formula>
    </cfRule>
  </conditionalFormatting>
  <conditionalFormatting sqref="C56">
    <cfRule type="containsText" dxfId="6" priority="23" operator="between" text="Papierkram">
      <formula>NOT(ISERROR(SEARCH("Papierkram",C56)))</formula>
    </cfRule>
  </conditionalFormatting>
  <conditionalFormatting sqref="C57:C58">
    <cfRule type="containsText" dxfId="6" priority="22" operator="between" text="Papierkram">
      <formula>NOT(ISERROR(SEARCH("Papierkram",C57)))</formula>
    </cfRule>
  </conditionalFormatting>
  <conditionalFormatting sqref="C1:C14 C16:C18 C20:C22 C24 C26:C28 C30 C34:C35 C41 C38:C39 C45 C47 C50 C53:C54 C59:C1016">
    <cfRule type="containsText" dxfId="6" priority="29" operator="between" text="Papierkram">
      <formula>NOT(ISERROR(SEARCH("Papierkram",C1)))</formula>
    </cfRule>
  </conditionalFormatting>
  <dataValidations count="2">
    <dataValidation type="list" allowBlank="1" showErrorMessage="1" sqref="C14:C59">
      <formula1>"Papierkram,Internal,Others"</formula1>
    </dataValidation>
    <dataValidation type="list" allowBlank="1" showErrorMessage="1" sqref="G14:G59">
      <formula1>Legend!$C$3:$C$46</formula1>
    </dataValidation>
  </dataValidations>
  <pageMargins left="0.393700787401575" right="0.433070866141732" top="0.531666666666667" bottom="0.78740157480315" header="0" footer="0"/>
  <pageSetup paperSize="9" scale="67" orientation="landscape"/>
  <headerFooter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Title</vt:lpstr>
      <vt:lpstr>Legend</vt:lpstr>
      <vt:lpstr>Jan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conarum GmbH &amp; Co KG;DeubelT</dc:creator>
  <cp:lastModifiedBy>Cường Nguyễn</cp:lastModifiedBy>
  <dcterms:created xsi:type="dcterms:W3CDTF">2008-10-30T06:56:00Z</dcterms:created>
  <dcterms:modified xsi:type="dcterms:W3CDTF">2026-01-29T11:01:38Z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0x01010014BF81F81DAD2D44A7084C3530631656</vt:lpwstr>
  </property>
  <property fmtid="{D5CDD505-2E9C-101B-9397-08002B2CF9AE}" pid="3" name="ICV">
    <vt:lpwstr>13D01D3B5365430AA34485BFB3D9FA58_12</vt:lpwstr>
  </property>
  <property fmtid="{D5CDD505-2E9C-101B-9397-08002B2CF9AE}" pid="4" name="KSOProductBuildVer">
    <vt:lpwstr>1033-12.2.0.23196</vt:lpwstr>
  </property>
</Properties>
</file>